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shboard" sheetId="2" state="visible" r:id="rId2"/>
    <sheet name="Objective Summary" sheetId="3" state="visible" r:id="rId3"/>
    <sheet name="Item Analysis" sheetId="4" state="visible" r:id="rId4"/>
    <sheet name="Pre-Post by Cohort" sheetId="5" state="visible" r:id="rId5"/>
    <sheet name="Misconceptions" sheetId="6" state="visible" r:id="rId6"/>
    <sheet name="Attempts" sheetId="7" state="visible" r:id="rId7"/>
    <sheet name="Station Responses" sheetId="8" state="visible" r:id="rId8"/>
    <sheet name="Handovers" sheetId="9" state="visible" r:id="rId9"/>
    <sheet name="Handover Scoring" sheetId="10" state="visible" r:id="rId10"/>
    <sheet name="Teacher Reviews" sheetId="11" state="visible" r:id="rId11"/>
    <sheet name="Course Feedback" sheetId="12" state="visible" r:id="rId12"/>
    <sheet name="Roster" sheetId="13" state="visible" r:id="rId13"/>
    <sheet name="Manual Exclusions" sheetId="14" state="visible" r:id="rId14"/>
    <sheet name="Sync Log" sheetId="15" state="visible" r:id="rId15"/>
  </sheets>
  <definedNames>
    <definedName name="_xlnm._FilterDatabase" localSheetId="2" hidden="1">'Objective Summary'!$A$1:$I$1</definedName>
    <definedName name="_xlnm._FilterDatabase" localSheetId="3" hidden="1">'Item Analysis'!$A$1:$O$1</definedName>
    <definedName name="_xlnm._FilterDatabase" localSheetId="4" hidden="1">'Pre-Post by Cohort'!$A$1:$N$1</definedName>
    <definedName name="_xlnm._FilterDatabase" localSheetId="5" hidden="1">'Misconceptions'!$A$1:$H$1</definedName>
    <definedName name="_xlnm._FilterDatabase" localSheetId="6" hidden="1">'Attempts'!$A$1:$AD$1</definedName>
    <definedName name="_xlnm._FilterDatabase" localSheetId="7" hidden="1">'Station Responses'!$A$1:$T$1</definedName>
    <definedName name="_xlnm._FilterDatabase" localSheetId="8" hidden="1">'Handovers'!$A$1:$I$1</definedName>
    <definedName name="_xlnm._FilterDatabase" localSheetId="9" hidden="1">'Handover Scoring'!$A$1:$J$1</definedName>
    <definedName name="_xlnm._FilterDatabase" localSheetId="10" hidden="1">'Teacher Reviews'!$A$1:$M$1</definedName>
    <definedName name="_xlnm._FilterDatabase" localSheetId="11" hidden="1">'Course Feedback'!$A$1:$J$1</definedName>
    <definedName name="_xlnm._FilterDatabase" localSheetId="12" hidden="1">'Roster'!$A$1:$F$1</definedName>
    <definedName name="_xlnm._FilterDatabase" localSheetId="13" hidden="1">'Manual Exclusions'!$A$1:$B$1</definedName>
    <definedName name="_xlnm._FilterDatabase" localSheetId="14" hidden="1">'Sync Log'!$A$1:$B$1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2324A"/>
      <sz val="16"/>
    </font>
    <font>
      <b val="1"/>
      <color rgb="0012324A"/>
    </font>
    <font>
      <i val="1"/>
      <color rgb="00555555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324A"/>
      </patternFill>
    </fill>
    <fill>
      <patternFill patternType="solid">
        <fgColor rgb="008A5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9" fontId="0" fillId="0" borderId="0" pivotButton="0" quotePrefix="0" xfId="0"/>
    <xf numFmtId="2" fontId="0" fillId="0" borderId="0" pivotButton="0" quotePrefix="0" xfId="0"/>
    <xf numFmtId="0" fontId="5" fillId="2" borderId="0" applyAlignment="1" pivotButton="0" quotePrefix="0" xfId="0">
      <alignment vertical="top" wrapText="1"/>
    </xf>
    <xf numFmtId="1" fontId="0" fillId="0" borderId="0" pivotButton="0" quotePrefix="0" xfId="0"/>
    <xf numFmtId="0" fontId="5" fillId="3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D7DA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Pelvic Fx Game — Evaluation workbook</t>
        </is>
      </c>
    </row>
    <row r="3">
      <c r="A3" s="2" t="inlineStr">
        <is>
          <t>Content version</t>
        </is>
      </c>
      <c r="B3" s="3" t="inlineStr">
        <is>
          <t>ptd-minigame-draft-2026-10-07</t>
        </is>
      </c>
    </row>
    <row r="4">
      <c r="A4" s="2" t="inlineStr">
        <is>
          <t>How it fills</t>
        </is>
      </c>
      <c r="B4" s="3" t="inlineStr">
        <is>
          <t>Teacher → app → Faculty → 'Update Google Sheet now'. Raw tabs are replaced each time; analysis tabs recalculate. Manual Exclusions and Handover Scoring are yours and are never overwritten.</t>
        </is>
      </c>
    </row>
    <row r="5">
      <c r="A5" s="2" t="inlineStr">
        <is>
          <t>Who is counted</t>
        </is>
      </c>
      <c r="B5" s="3" t="inlineStr">
        <is>
          <t>Statistics use only rows where 'Exclude from analysis' is FALSE. QA/DEMO/TEST IDs, practice attempts and anyone in Manual Exclusions are excluded automatically but stay visible.</t>
        </is>
      </c>
    </row>
    <row r="6">
      <c r="A6" s="2" t="inlineStr">
        <is>
          <t>Learning objectives</t>
        </is>
      </c>
      <c r="B6" s="3" t="inlineStr">
        <is>
          <t>LO1 mechanism &amp; associated injuries · LO2 history &amp; examination · LO3 imaging choice &amp; interpretation · LO4 open vs closed fracture · LO5 initial treatment (shock, resuscitation, open fracture) · LO6 pelvic binder · LO7 referral &amp; handover.</t>
        </is>
      </c>
    </row>
    <row r="7">
      <c r="A7" s="2" t="inlineStr">
        <is>
          <t>Design</t>
        </is>
      </c>
      <c r="B7" s="3" t="inlineStr">
        <is>
          <t>Pre-test (8 items) → 24 practice stations with feedback and correction → boss reviews → post-test (8 items, parallel form). Formative, supervised learning; not a certification of competence.</t>
        </is>
      </c>
    </row>
    <row r="8">
      <c r="A8" s="2" t="inlineStr">
        <is>
          <t>Pass standard</t>
        </is>
      </c>
      <c r="B8" s="3" t="inlineStr">
        <is>
          <t>Post-test ≥ 6/8 correct on the first try AND both must-pass safety items correct (FS2 no Foley with meatal blood; FS6 binder at the greater trochanters). A conjunctive standard: high marks cannot compensate for a safety error.</t>
        </is>
      </c>
    </row>
    <row r="9">
      <c r="A9" s="2" t="inlineStr">
        <is>
          <t>Raw gain</t>
        </is>
      </c>
      <c r="B9" s="3" t="inlineStr">
        <is>
          <t>Post-test score − pre-test score (same 8-item blueprint, other form).</t>
        </is>
      </c>
    </row>
    <row r="10">
      <c r="A10" s="2" t="inlineStr">
        <is>
          <t>Normalized gain (g)</t>
        </is>
      </c>
      <c r="B10" s="3" t="inlineStr">
        <is>
          <t>Hake: (post − pre) / (8 − pre). 0.3–0.7 = medium, &gt; 0.7 = high. Fairer than raw gain when pre-test scores differ.</t>
        </is>
      </c>
    </row>
    <row r="11">
      <c r="A11" s="2" t="inlineStr">
        <is>
          <t>Paired t / p / dz</t>
        </is>
      </c>
      <c r="B11" s="3" t="inlineStr">
        <is>
          <t>Pre-Post by Cohort: paired t-test of gain (df = n − 1), two-sided p from TDIST, Cohen's dz = mean gain / SD of gain (0.2 small, 0.5 medium, 0.8 large).</t>
        </is>
      </c>
    </row>
    <row r="12">
      <c r="A12" s="2" t="inlineStr">
        <is>
          <t>Difficulty p</t>
        </is>
      </c>
      <c r="B12" s="3" t="inlineStr">
        <is>
          <t>Item Analysis: proportion correct on the first try. &lt; 0.30 = very hard (check the teaching or the item); &gt; 0.90 = very easy.</t>
        </is>
      </c>
    </row>
    <row r="13">
      <c r="A13" s="2" t="inlineStr">
        <is>
          <t>Discrimination D</t>
        </is>
      </c>
      <c r="B13" s="3" t="inlineStr">
        <is>
          <t>First-try rate of the upper 27% minus the lower 27% of learners by post-test score. D &lt; 0.20 suggests the item does not separate stronger and weaker learners. Needs at least 4 included learners.</t>
        </is>
      </c>
    </row>
    <row r="14">
      <c r="A14" s="2" t="inlineStr">
        <is>
          <t>Bloom level</t>
        </is>
      </c>
      <c r="B14" s="3" t="inlineStr">
        <is>
          <t>Station task type: remember · understand · apply · analyse. Use it to check items do not all test recall.</t>
        </is>
      </c>
    </row>
    <row r="15">
      <c r="A15" s="2" t="inlineStr">
        <is>
          <t>Kirkpatrick</t>
        </is>
      </c>
      <c r="B15" s="3" t="inlineStr">
        <is>
          <t>Level 1 reaction = Course Feedback (1–5). Level 2 learning = pre/post and objective mastery. Level 3 behaviour needs ward observation and is outside this game.</t>
        </is>
      </c>
    </row>
    <row r="16">
      <c r="A16" s="2" t="inlineStr">
        <is>
          <t>Misconceptions</t>
        </is>
      </c>
      <c r="B16" s="3" t="inlineStr">
        <is>
          <t>Specific wrong cards chosen on the first try, ranked by % of learners — use the top rows to plan the in-class discussion.</t>
        </is>
      </c>
    </row>
    <row r="17">
      <c r="A17" s="2" t="inlineStr">
        <is>
          <t>Handover scoring</t>
        </is>
      </c>
      <c r="B17" s="3" t="inlineStr">
        <is>
          <t>Score each learner's written handover reasoning with the SBAR rubric (0 = missing, 1 = partly, 2 = clear) in Handover Scoring; Total /8 calculates.</t>
        </is>
      </c>
    </row>
    <row r="18">
      <c r="A18" s="2" t="inlineStr">
        <is>
          <t>Privacy</t>
        </is>
      </c>
      <c r="B18" s="3" t="inlineStr">
        <is>
          <t>Contains student identifiers and free text. Keep the sheet private (never 'anyone with the link'); share only with course teachers. Delete or anonymise at the end of the retention period.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Class dashboard</t>
        </is>
      </c>
    </row>
    <row r="2">
      <c r="A2" s="4" t="inlineStr">
        <is>
          <t>Included learners only (Exclude = FALSE). Recalculates automatically.</t>
        </is>
      </c>
    </row>
    <row r="4">
      <c r="A4" s="5" t="inlineStr">
        <is>
          <t>Enrolled</t>
        </is>
      </c>
      <c r="B4">
        <f>COUNTIFS('Roster'!$E$2:$E$5000,FALSE)</f>
        <v/>
      </c>
    </row>
    <row r="5">
      <c r="A5" s="5" t="inlineStr">
        <is>
          <t>Started</t>
        </is>
      </c>
      <c r="B5">
        <f>COUNTIFS('Roster'!$C$2:$C$5000,"yes",'Roster'!$E$2:$E$5000,FALSE)</f>
        <v/>
      </c>
    </row>
    <row r="6">
      <c r="A6" s="5" t="inlineStr">
        <is>
          <t>Completed the shift</t>
        </is>
      </c>
      <c r="B6">
        <f>COUNTIFS('Roster'!$D$2:$D$5000,"yes",'Roster'!$E$2:$E$5000,FALSE)</f>
        <v/>
      </c>
    </row>
    <row r="7">
      <c r="A7" s="5" t="inlineStr">
        <is>
          <t>Finished the post-test</t>
        </is>
      </c>
      <c r="B7">
        <f>COUNTIFS('Attempts'!$K$2:$K$5000,"&gt;=0",'Attempts'!$AC$2:$AC$5000,FALSE)</f>
        <v/>
      </c>
    </row>
    <row r="8">
      <c r="A8" s="5" t="inlineStr">
        <is>
          <t>Met the pass standard</t>
        </is>
      </c>
      <c r="B8">
        <f>COUNTIFS('Attempts'!$M$2:$M$5000,TRUE,'Attempts'!$AC$2:$AC$5000,FALSE)</f>
        <v/>
      </c>
    </row>
    <row r="9">
      <c r="A9" s="5" t="inlineStr">
        <is>
          <t>Pass rate</t>
        </is>
      </c>
      <c r="B9" s="6">
        <f>IFERROR(B8/B7,"")</f>
        <v/>
      </c>
    </row>
    <row r="10">
      <c r="A10" s="5" t="inlineStr">
        <is>
          <t>Mean pre-test /8</t>
        </is>
      </c>
      <c r="B10" s="7">
        <f>IFERROR(AVERAGEIFS('Attempts'!$J$2:$J$5000,'Attempts'!$J$2:$J$5000,"&gt;=0",'Attempts'!$AC$2:$AC$5000,FALSE),"")</f>
        <v/>
      </c>
    </row>
    <row r="11">
      <c r="A11" s="5" t="inlineStr">
        <is>
          <t>Mean post-test /8</t>
        </is>
      </c>
      <c r="B11" s="7">
        <f>IFERROR(AVERAGEIFS('Attempts'!$K$2:$K$5000,'Attempts'!$K$2:$K$5000,"&gt;=0",'Attempts'!$AC$2:$AC$5000,FALSE),"")</f>
        <v/>
      </c>
    </row>
    <row r="12">
      <c r="A12" s="5" t="inlineStr">
        <is>
          <t>Mean normalized gain (g)</t>
        </is>
      </c>
      <c r="B12" s="7">
        <f>IFERROR(AVERAGEIFS('Attempts'!$O$2:$O$5000,'Attempts'!$O$2:$O$5000,"&gt;=-1",'Attempts'!$AC$2:$AC$5000,FALSE),"")</f>
        <v/>
      </c>
    </row>
    <row r="13">
      <c r="A13" s="5" t="inlineStr">
        <is>
          <t>Mean time on task (min)</t>
        </is>
      </c>
      <c r="B13" s="7">
        <f>IFERROR(AVERAGEIFS('Attempts'!$S$2:$S$5000,'Attempts'!$S$2:$S$5000,"&gt;0",'Attempts'!$AC$2:$AC$5000,FALSE),"")</f>
        <v/>
      </c>
    </row>
    <row r="14">
      <c r="A14" s="5" t="inlineStr">
        <is>
          <t>Course feedback — useful (1–5)</t>
        </is>
      </c>
      <c r="B14" s="7">
        <f>IFERROR(AVERAGEIFS('Course Feedback'!$F$2:$F$5000,'Course Feedback'!$J$2:$J$5000,FALSE),"")</f>
        <v/>
      </c>
    </row>
    <row r="15">
      <c r="A15" s="5" t="inlineStr">
        <is>
          <t>Course feedback — enjoyable (1–5)</t>
        </is>
      </c>
      <c r="B15" s="7">
        <f>IFERROR(AVERAGEIFS('Course Feedback'!$G$2:$G$5000,'Course Feedback'!$J$2:$J$5000,FALSE),"")</f>
        <v/>
      </c>
    </row>
    <row r="16">
      <c r="A16" s="5" t="inlineStr">
        <is>
          <t>Course feedback — confidence (1–5)</t>
        </is>
      </c>
      <c r="B16" s="7">
        <f>IFERROR(AVERAGEIFS('Course Feedback'!$H$2:$H$5000,'Course Feedback'!$J$2:$J$5000,FALSE),"")</f>
        <v/>
      </c>
    </row>
    <row r="18">
      <c r="A18" s="4" t="inlineStr">
        <is>
          <t>See: Objective Summary · Item Analysis · Pre-Post by Cohort · Misconceptions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12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1" ht="42" customHeight="1">
      <c r="A1" s="8" t="inlineStr">
        <is>
          <t>Objective</t>
        </is>
      </c>
      <c r="B1" s="8" t="inlineStr">
        <is>
          <t>Description</t>
        </is>
      </c>
      <c r="C1" s="8" t="inlineStr">
        <is>
          <t>Practice stations</t>
        </is>
      </c>
      <c r="D1" s="8" t="inlineStr">
        <is>
          <t>Practice responses (n)</t>
        </is>
      </c>
      <c r="E1" s="8" t="inlineStr">
        <is>
          <t>Practice first-try %</t>
        </is>
      </c>
      <c r="F1" s="8" t="inlineStr">
        <is>
          <t>Corrected after feedback %</t>
        </is>
      </c>
      <c r="G1" s="8" t="inlineStr">
        <is>
          <t>Pre-test first-try %</t>
        </is>
      </c>
      <c r="H1" s="8" t="inlineStr">
        <is>
          <t>Post-test first-try %</t>
        </is>
      </c>
      <c r="I1" s="8" t="inlineStr">
        <is>
          <t>Change (post − pre)</t>
        </is>
      </c>
    </row>
    <row r="2">
      <c r="A2" t="inlineStr">
        <is>
          <t>LO1</t>
        </is>
      </c>
      <c r="B2" t="inlineStr">
        <is>
          <t>Mechanism of injury and associated injuries</t>
        </is>
      </c>
      <c r="C2" t="n">
        <v>5</v>
      </c>
      <c r="D2">
        <f>COUNTIFS('Station Responses'!$H$2:$H$5000,"*LO1*",'Station Responses'!$E$2:$E$5000,"practice",'Station Responses'!$T$2:$T$5000,FALSE)</f>
        <v/>
      </c>
      <c r="E2" s="6">
        <f>IFERROR(AVERAGEIFS('Station Responses'!$K$2:$K$5000,'Station Responses'!$H$2:$H$5000,"*LO1*",'Station Responses'!$E$2:$E$5000,"practice",'Station Responses'!$T$2:$T$5000,FALSE),"")</f>
        <v/>
      </c>
      <c r="F2" s="6">
        <f>IFERROR(COUNTIFS('Station Responses'!$H$2:$H$5000,"*LO1*",'Station Responses'!$E$2:$E$5000,"practice",'Station Responses'!$K$2:$K$5000,0,'Station Responses'!$L$2:$L$5000,1,'Station Responses'!$T$2:$T$5000,FALSE)/COUNTIFS('Station Responses'!$H$2:$H$5000,"*LO1*",'Station Responses'!$E$2:$E$5000,"practice",'Station Responses'!$K$2:$K$5000,0,'Station Responses'!$T$2:$T$5000,FALSE),"")</f>
        <v/>
      </c>
      <c r="G2" s="6">
        <f>IFERROR(AVERAGEIFS('Station Responses'!$K$2:$K$5000,'Station Responses'!$H$2:$H$5000,"*LO1*",'Station Responses'!$E$2:$E$5000,"pre-test",'Station Responses'!$T$2:$T$5000,FALSE),"")</f>
        <v/>
      </c>
      <c r="H2" s="6">
        <f>IFERROR(AVERAGEIFS('Station Responses'!$K$2:$K$5000,'Station Responses'!$H$2:$H$5000,"*LO1*",'Station Responses'!$E$2:$E$5000,"post-test",'Station Responses'!$T$2:$T$5000,FALSE),"")</f>
        <v/>
      </c>
      <c r="I2" s="6">
        <f>IFERROR(H2-G2,"")</f>
        <v/>
      </c>
    </row>
    <row r="3">
      <c r="A3" t="inlineStr">
        <is>
          <t>LO2</t>
        </is>
      </c>
      <c r="B3" t="inlineStr">
        <is>
          <t>History and physical examination</t>
        </is>
      </c>
      <c r="C3" t="n">
        <v>5</v>
      </c>
      <c r="D3">
        <f>COUNTIFS('Station Responses'!$H$2:$H$5000,"*LO2*",'Station Responses'!$E$2:$E$5000,"practice",'Station Responses'!$T$2:$T$5000,FALSE)</f>
        <v/>
      </c>
      <c r="E3" s="6">
        <f>IFERROR(AVERAGEIFS('Station Responses'!$K$2:$K$5000,'Station Responses'!$H$2:$H$5000,"*LO2*",'Station Responses'!$E$2:$E$5000,"practice",'Station Responses'!$T$2:$T$5000,FALSE),"")</f>
        <v/>
      </c>
      <c r="F3" s="6">
        <f>IFERROR(COUNTIFS('Station Responses'!$H$2:$H$5000,"*LO2*",'Station Responses'!$E$2:$E$5000,"practice",'Station Responses'!$K$2:$K$5000,0,'Station Responses'!$L$2:$L$5000,1,'Station Responses'!$T$2:$T$5000,FALSE)/COUNTIFS('Station Responses'!$H$2:$H$5000,"*LO2*",'Station Responses'!$E$2:$E$5000,"practice",'Station Responses'!$K$2:$K$5000,0,'Station Responses'!$T$2:$T$5000,FALSE),"")</f>
        <v/>
      </c>
      <c r="G3" s="6">
        <f>IFERROR(AVERAGEIFS('Station Responses'!$K$2:$K$5000,'Station Responses'!$H$2:$H$5000,"*LO2*",'Station Responses'!$E$2:$E$5000,"pre-test",'Station Responses'!$T$2:$T$5000,FALSE),"")</f>
        <v/>
      </c>
      <c r="H3" s="6">
        <f>IFERROR(AVERAGEIFS('Station Responses'!$K$2:$K$5000,'Station Responses'!$H$2:$H$5000,"*LO2*",'Station Responses'!$E$2:$E$5000,"post-test",'Station Responses'!$T$2:$T$5000,FALSE),"")</f>
        <v/>
      </c>
      <c r="I3" s="6">
        <f>IFERROR(H3-G3,"")</f>
        <v/>
      </c>
    </row>
    <row r="4">
      <c r="A4" t="inlineStr">
        <is>
          <t>LO3</t>
        </is>
      </c>
      <c r="B4" t="inlineStr">
        <is>
          <t>Choose and interpret imaging</t>
        </is>
      </c>
      <c r="C4" t="n">
        <v>6</v>
      </c>
      <c r="D4">
        <f>COUNTIFS('Station Responses'!$H$2:$H$5000,"*LO3*",'Station Responses'!$E$2:$E$5000,"practice",'Station Responses'!$T$2:$T$5000,FALSE)</f>
        <v/>
      </c>
      <c r="E4" s="6">
        <f>IFERROR(AVERAGEIFS('Station Responses'!$K$2:$K$5000,'Station Responses'!$H$2:$H$5000,"*LO3*",'Station Responses'!$E$2:$E$5000,"practice",'Station Responses'!$T$2:$T$5000,FALSE),"")</f>
        <v/>
      </c>
      <c r="F4" s="6">
        <f>IFERROR(COUNTIFS('Station Responses'!$H$2:$H$5000,"*LO3*",'Station Responses'!$E$2:$E$5000,"practice",'Station Responses'!$K$2:$K$5000,0,'Station Responses'!$L$2:$L$5000,1,'Station Responses'!$T$2:$T$5000,FALSE)/COUNTIFS('Station Responses'!$H$2:$H$5000,"*LO3*",'Station Responses'!$E$2:$E$5000,"practice",'Station Responses'!$K$2:$K$5000,0,'Station Responses'!$T$2:$T$5000,FALSE),"")</f>
        <v/>
      </c>
      <c r="G4" s="6">
        <f>IFERROR(AVERAGEIFS('Station Responses'!$K$2:$K$5000,'Station Responses'!$H$2:$H$5000,"*LO3*",'Station Responses'!$E$2:$E$5000,"pre-test",'Station Responses'!$T$2:$T$5000,FALSE),"")</f>
        <v/>
      </c>
      <c r="H4" s="6">
        <f>IFERROR(AVERAGEIFS('Station Responses'!$K$2:$K$5000,'Station Responses'!$H$2:$H$5000,"*LO3*",'Station Responses'!$E$2:$E$5000,"post-test",'Station Responses'!$T$2:$T$5000,FALSE),"")</f>
        <v/>
      </c>
      <c r="I4" s="6">
        <f>IFERROR(H4-G4,"")</f>
        <v/>
      </c>
    </row>
    <row r="5">
      <c r="A5" t="inlineStr">
        <is>
          <t>LO4</t>
        </is>
      </c>
      <c r="B5" t="inlineStr">
        <is>
          <t>Open vs closed pelvic fracture</t>
        </is>
      </c>
      <c r="C5" t="n">
        <v>4</v>
      </c>
      <c r="D5">
        <f>COUNTIFS('Station Responses'!$H$2:$H$5000,"*LO4*",'Station Responses'!$E$2:$E$5000,"practice",'Station Responses'!$T$2:$T$5000,FALSE)</f>
        <v/>
      </c>
      <c r="E5" s="6">
        <f>IFERROR(AVERAGEIFS('Station Responses'!$K$2:$K$5000,'Station Responses'!$H$2:$H$5000,"*LO4*",'Station Responses'!$E$2:$E$5000,"practice",'Station Responses'!$T$2:$T$5000,FALSE),"")</f>
        <v/>
      </c>
      <c r="F5" s="6">
        <f>IFERROR(COUNTIFS('Station Responses'!$H$2:$H$5000,"*LO4*",'Station Responses'!$E$2:$E$5000,"practice",'Station Responses'!$K$2:$K$5000,0,'Station Responses'!$L$2:$L$5000,1,'Station Responses'!$T$2:$T$5000,FALSE)/COUNTIFS('Station Responses'!$H$2:$H$5000,"*LO4*",'Station Responses'!$E$2:$E$5000,"practice",'Station Responses'!$K$2:$K$5000,0,'Station Responses'!$T$2:$T$5000,FALSE),"")</f>
        <v/>
      </c>
      <c r="G5" s="6">
        <f>IFERROR(AVERAGEIFS('Station Responses'!$K$2:$K$5000,'Station Responses'!$H$2:$H$5000,"*LO4*",'Station Responses'!$E$2:$E$5000,"pre-test",'Station Responses'!$T$2:$T$5000,FALSE),"")</f>
        <v/>
      </c>
      <c r="H5" s="6">
        <f>IFERROR(AVERAGEIFS('Station Responses'!$K$2:$K$5000,'Station Responses'!$H$2:$H$5000,"*LO4*",'Station Responses'!$E$2:$E$5000,"post-test",'Station Responses'!$T$2:$T$5000,FALSE),"")</f>
        <v/>
      </c>
      <c r="I5" s="6">
        <f>IFERROR(H5-G5,"")</f>
        <v/>
      </c>
    </row>
    <row r="6">
      <c r="A6" t="inlineStr">
        <is>
          <t>LO5</t>
        </is>
      </c>
      <c r="B6" t="inlineStr">
        <is>
          <t>Initial treatment: shock, resuscitation, open fracture</t>
        </is>
      </c>
      <c r="C6" t="n">
        <v>8</v>
      </c>
      <c r="D6">
        <f>COUNTIFS('Station Responses'!$H$2:$H$5000,"*LO5*",'Station Responses'!$E$2:$E$5000,"practice",'Station Responses'!$T$2:$T$5000,FALSE)</f>
        <v/>
      </c>
      <c r="E6" s="6">
        <f>IFERROR(AVERAGEIFS('Station Responses'!$K$2:$K$5000,'Station Responses'!$H$2:$H$5000,"*LO5*",'Station Responses'!$E$2:$E$5000,"practice",'Station Responses'!$T$2:$T$5000,FALSE),"")</f>
        <v/>
      </c>
      <c r="F6" s="6">
        <f>IFERROR(COUNTIFS('Station Responses'!$H$2:$H$5000,"*LO5*",'Station Responses'!$E$2:$E$5000,"practice",'Station Responses'!$K$2:$K$5000,0,'Station Responses'!$L$2:$L$5000,1,'Station Responses'!$T$2:$T$5000,FALSE)/COUNTIFS('Station Responses'!$H$2:$H$5000,"*LO5*",'Station Responses'!$E$2:$E$5000,"practice",'Station Responses'!$K$2:$K$5000,0,'Station Responses'!$T$2:$T$5000,FALSE),"")</f>
        <v/>
      </c>
      <c r="G6" s="6">
        <f>IFERROR(AVERAGEIFS('Station Responses'!$K$2:$K$5000,'Station Responses'!$H$2:$H$5000,"*LO5*",'Station Responses'!$E$2:$E$5000,"pre-test",'Station Responses'!$T$2:$T$5000,FALSE),"")</f>
        <v/>
      </c>
      <c r="H6" s="6">
        <f>IFERROR(AVERAGEIFS('Station Responses'!$K$2:$K$5000,'Station Responses'!$H$2:$H$5000,"*LO5*",'Station Responses'!$E$2:$E$5000,"post-test",'Station Responses'!$T$2:$T$5000,FALSE),"")</f>
        <v/>
      </c>
      <c r="I6" s="6">
        <f>IFERROR(H6-G6,"")</f>
        <v/>
      </c>
    </row>
    <row r="7">
      <c r="A7" t="inlineStr">
        <is>
          <t>LO6</t>
        </is>
      </c>
      <c r="B7" t="inlineStr">
        <is>
          <t>Pelvic binder: indication and application</t>
        </is>
      </c>
      <c r="C7" t="n">
        <v>3</v>
      </c>
      <c r="D7">
        <f>COUNTIFS('Station Responses'!$H$2:$H$5000,"*LO6*",'Station Responses'!$E$2:$E$5000,"practice",'Station Responses'!$T$2:$T$5000,FALSE)</f>
        <v/>
      </c>
      <c r="E7" s="6">
        <f>IFERROR(AVERAGEIFS('Station Responses'!$K$2:$K$5000,'Station Responses'!$H$2:$H$5000,"*LO6*",'Station Responses'!$E$2:$E$5000,"practice",'Station Responses'!$T$2:$T$5000,FALSE),"")</f>
        <v/>
      </c>
      <c r="F7" s="6">
        <f>IFERROR(COUNTIFS('Station Responses'!$H$2:$H$5000,"*LO6*",'Station Responses'!$E$2:$E$5000,"practice",'Station Responses'!$K$2:$K$5000,0,'Station Responses'!$L$2:$L$5000,1,'Station Responses'!$T$2:$T$5000,FALSE)/COUNTIFS('Station Responses'!$H$2:$H$5000,"*LO6*",'Station Responses'!$E$2:$E$5000,"practice",'Station Responses'!$K$2:$K$5000,0,'Station Responses'!$T$2:$T$5000,FALSE),"")</f>
        <v/>
      </c>
      <c r="G7" s="6">
        <f>IFERROR(AVERAGEIFS('Station Responses'!$K$2:$K$5000,'Station Responses'!$H$2:$H$5000,"*LO6*",'Station Responses'!$E$2:$E$5000,"pre-test",'Station Responses'!$T$2:$T$5000,FALSE),"")</f>
        <v/>
      </c>
      <c r="H7" s="6">
        <f>IFERROR(AVERAGEIFS('Station Responses'!$K$2:$K$5000,'Station Responses'!$H$2:$H$5000,"*LO6*",'Station Responses'!$E$2:$E$5000,"post-test",'Station Responses'!$T$2:$T$5000,FALSE),"")</f>
        <v/>
      </c>
      <c r="I7" s="6">
        <f>IFERROR(H7-G7,"")</f>
        <v/>
      </c>
    </row>
    <row r="8">
      <c r="A8" t="inlineStr">
        <is>
          <t>LO7</t>
        </is>
      </c>
      <c r="B8" t="inlineStr">
        <is>
          <t>Referral and handover</t>
        </is>
      </c>
      <c r="C8" t="n">
        <v>3</v>
      </c>
      <c r="D8">
        <f>COUNTIFS('Station Responses'!$H$2:$H$5000,"*LO7*",'Station Responses'!$E$2:$E$5000,"practice",'Station Responses'!$T$2:$T$5000,FALSE)</f>
        <v/>
      </c>
      <c r="E8" s="6">
        <f>IFERROR(AVERAGEIFS('Station Responses'!$K$2:$K$5000,'Station Responses'!$H$2:$H$5000,"*LO7*",'Station Responses'!$E$2:$E$5000,"practice",'Station Responses'!$T$2:$T$5000,FALSE),"")</f>
        <v/>
      </c>
      <c r="F8" s="6">
        <f>IFERROR(COUNTIFS('Station Responses'!$H$2:$H$5000,"*LO7*",'Station Responses'!$E$2:$E$5000,"practice",'Station Responses'!$K$2:$K$5000,0,'Station Responses'!$L$2:$L$5000,1,'Station Responses'!$T$2:$T$5000,FALSE)/COUNTIFS('Station Responses'!$H$2:$H$5000,"*LO7*",'Station Responses'!$E$2:$E$5000,"practice",'Station Responses'!$K$2:$K$5000,0,'Station Responses'!$T$2:$T$5000,FALSE),"")</f>
        <v/>
      </c>
      <c r="G8" s="6">
        <f>IFERROR(AVERAGEIFS('Station Responses'!$K$2:$K$5000,'Station Responses'!$H$2:$H$5000,"*LO7*",'Station Responses'!$E$2:$E$5000,"pre-test",'Station Responses'!$T$2:$T$5000,FALSE),"")</f>
        <v/>
      </c>
      <c r="H8" s="6">
        <f>IFERROR(AVERAGEIFS('Station Responses'!$K$2:$K$5000,'Station Responses'!$H$2:$H$5000,"*LO7*",'Station Responses'!$E$2:$E$5000,"post-test",'Station Responses'!$T$2:$T$5000,FALSE),"")</f>
        <v/>
      </c>
      <c r="I8" s="6">
        <f>IFERROR(H8-G8,"")</f>
        <v/>
      </c>
    </row>
    <row r="10">
      <c r="A10" s="4" t="inlineStr">
        <is>
          <t>Mastery colour: red &lt; 50%, amber 50–79%, green ≥ 80% first try. Per-learner objective % is in Attempts (LO1–LO7 columns).</t>
        </is>
      </c>
    </row>
  </sheetData>
  <autoFilter ref="A1:I1"/>
  <conditionalFormatting sqref="E2:E8">
    <cfRule type="colorScale" priority="1">
      <colorScale>
        <cfvo type="num" val="0.5"/>
        <cfvo type="num" val="0.65"/>
        <cfvo type="num" val="0.8"/>
        <color rgb="00F8D7DA"/>
        <color rgb="00FFF3CD"/>
        <color rgb="00D4EDDA"/>
      </colorScale>
    </cfRule>
  </conditionalFormatting>
  <conditionalFormatting sqref="G2:G8">
    <cfRule type="colorScale" priority="2">
      <colorScale>
        <cfvo type="num" val="0.5"/>
        <cfvo type="num" val="0.65"/>
        <cfvo type="num" val="0.8"/>
        <color rgb="00F8D7DA"/>
        <color rgb="00FFF3CD"/>
        <color rgb="00D4EDDA"/>
      </colorScale>
    </cfRule>
  </conditionalFormatting>
  <conditionalFormatting sqref="H2:H8">
    <cfRule type="colorScale" priority="3">
      <colorScale>
        <cfvo type="num" val="0.5"/>
        <cfvo type="num" val="0.65"/>
        <cfvo type="num" val="0.8"/>
        <color rgb="00F8D7DA"/>
        <color rgb="00FFF3CD"/>
        <color rgb="00D4EDD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34" customWidth="1" min="4" max="4"/>
    <col width="12" customWidth="1" min="5" max="5"/>
    <col width="11" customWidth="1" min="6" max="6"/>
    <col width="9" customWidth="1" min="7" max="7"/>
    <col width="10" customWidth="1" min="8" max="8"/>
    <col width="12" customWidth="1" min="9" max="9"/>
    <col width="13" customWidth="1" min="10" max="10"/>
    <col width="13" customWidth="1" min="11" max="11"/>
    <col width="10" customWidth="1" min="12" max="12"/>
    <col width="10" customWidth="1" min="13" max="13"/>
    <col width="30" customWidth="1" min="14" max="14"/>
    <col width="60" customWidth="1" min="15" max="15"/>
  </cols>
  <sheetData>
    <row r="1" ht="42" customHeight="1">
      <c r="A1" s="8" t="inlineStr">
        <is>
          <t>Station</t>
        </is>
      </c>
      <c r="B1" s="8" t="inlineStr">
        <is>
          <t>Phase</t>
        </is>
      </c>
      <c r="C1" s="8" t="inlineStr">
        <is>
          <t>Case</t>
        </is>
      </c>
      <c r="D1" s="8" t="inlineStr">
        <is>
          <t>Title</t>
        </is>
      </c>
      <c r="E1" s="8" t="inlineStr">
        <is>
          <t>Objectives</t>
        </is>
      </c>
      <c r="F1" s="8" t="inlineStr">
        <is>
          <t>Bloom level</t>
        </is>
      </c>
      <c r="G1" s="8" t="inlineStr">
        <is>
          <t>Must-pass</t>
        </is>
      </c>
      <c r="H1" s="8" t="inlineStr">
        <is>
          <t>Answered (n)</t>
        </is>
      </c>
      <c r="I1" s="8" t="inlineStr">
        <is>
          <t>Difficulty p (first-try)</t>
        </is>
      </c>
      <c r="J1" s="8" t="inlineStr">
        <is>
          <t>Corrected after feedback %</t>
        </is>
      </c>
      <c r="K1" s="8" t="inlineStr">
        <is>
          <t>Discrimination D</t>
        </is>
      </c>
      <c r="L1" s="8" t="inlineStr">
        <is>
          <t>Mean time (s)</t>
        </is>
      </c>
      <c r="M1" s="8" t="inlineStr">
        <is>
          <t>Hint use %</t>
        </is>
      </c>
      <c r="N1" s="8" t="inlineStr">
        <is>
          <t>Flag</t>
        </is>
      </c>
      <c r="O1" s="8" t="inlineStr">
        <is>
          <t>Teaching point</t>
        </is>
      </c>
    </row>
    <row r="2">
      <c r="A2" t="inlineStr">
        <is>
          <t>C0S1</t>
        </is>
      </c>
      <c r="B2" t="inlineStr">
        <is>
          <t>practice</t>
        </is>
      </c>
      <c r="C2" t="inlineStr">
        <is>
          <t>Pelvis Academy</t>
        </is>
      </c>
      <c r="D2" t="inlineStr">
        <is>
          <t>Find the pelvic landmarks</t>
        </is>
      </c>
      <c r="E2" t="inlineStr">
        <is>
          <t>LO1</t>
        </is>
      </c>
      <c r="F2" t="inlineStr">
        <is>
          <t>remember</t>
        </is>
      </c>
      <c r="G2" t="b">
        <v>0</v>
      </c>
      <c r="H2">
        <f>COUNTIFS('Station Responses'!$F$2:$F$5000,"C0S1",'Station Responses'!$T$2:$T$5000,FALSE)</f>
        <v/>
      </c>
      <c r="I2" s="6">
        <f>IFERROR(AVERAGEIFS('Station Responses'!$K$2:$K$5000,'Station Responses'!$F$2:$F$5000,"C0S1",'Station Responses'!$T$2:$T$5000,FALSE),"")</f>
        <v/>
      </c>
      <c r="J2" s="6">
        <f>IFERROR(COUNTIFS('Station Responses'!$F$2:$F$5000,"C0S1",'Station Responses'!$T$2:$T$5000,FALSE,'Station Responses'!$K$2:$K$5000,0,'Station Responses'!$L$2:$L$5000,1)/COUNTIFS('Station Responses'!$F$2:$F$5000,"C0S1",'Station Responses'!$T$2:$T$5000,FALSE,'Station Responses'!$K$2:$K$5000,0),"")</f>
        <v/>
      </c>
      <c r="K2" s="7">
        <f>IFERROR(AVERAGEIFS('Station Responses'!$K$2:$K$5000,'Station Responses'!$F$2:$F$5000,"C0S1",'Station Responses'!$T$2:$T$5000,FALSE,'Station Responses'!$S$2:$S$5000,"upper")-AVERAGEIFS('Station Responses'!$K$2:$K$5000,'Station Responses'!$F$2:$F$5000,"C0S1",'Station Responses'!$T$2:$T$5000,FALSE,'Station Responses'!$S$2:$S$5000,"lower"),"")</f>
        <v/>
      </c>
      <c r="L2" s="9">
        <f>IFERROR(AVERAGEIFS('Station Responses'!$P$2:$P$5000,'Station Responses'!$F$2:$F$5000,"C0S1",'Station Responses'!$T$2:$T$5000,FALSE,'Station Responses'!$P$2:$P$5000,"&gt;0"),"")</f>
        <v/>
      </c>
      <c r="M2" s="6">
        <f>IFERROR(COUNTIFS('Station Responses'!$F$2:$F$5000,"C0S1",'Station Responses'!$T$2:$T$5000,FALSE,'Station Responses'!$O$2:$O$5000,"&gt;0")/H2,"")</f>
        <v/>
      </c>
      <c r="N2">
        <f>IF(H2&lt;5,"too few answers",IF(I2&lt;0.3,"very hard — review teaching or item",IF(I2&gt;0.9,"very easy",IF(AND(K2&lt;&gt;"",K2&lt;0.2),"low discrimination — review item","OK"))))</f>
        <v/>
      </c>
      <c r="O2" t="inlineStr">
        <is>
          <t>The anterior and posterior ring form one linked structure.</t>
        </is>
      </c>
    </row>
    <row r="3">
      <c r="A3" t="inlineStr">
        <is>
          <t>C0S2</t>
        </is>
      </c>
      <c r="B3" t="inlineStr">
        <is>
          <t>practice</t>
        </is>
      </c>
      <c r="C3" t="inlineStr">
        <is>
          <t>Pelvis Academy</t>
        </is>
      </c>
      <c r="D3" t="inlineStr">
        <is>
          <t>Ligaments and their jobs</t>
        </is>
      </c>
      <c r="E3" t="inlineStr">
        <is>
          <t>LO1</t>
        </is>
      </c>
      <c r="F3" t="inlineStr">
        <is>
          <t>understand</t>
        </is>
      </c>
      <c r="G3" t="b">
        <v>0</v>
      </c>
      <c r="H3">
        <f>COUNTIFS('Station Responses'!$F$2:$F$5000,"C0S2",'Station Responses'!$T$2:$T$5000,FALSE)</f>
        <v/>
      </c>
      <c r="I3" s="6">
        <f>IFERROR(AVERAGEIFS('Station Responses'!$K$2:$K$5000,'Station Responses'!$F$2:$F$5000,"C0S2",'Station Responses'!$T$2:$T$5000,FALSE),"")</f>
        <v/>
      </c>
      <c r="J3" s="6">
        <f>IFERROR(COUNTIFS('Station Responses'!$F$2:$F$5000,"C0S2",'Station Responses'!$T$2:$T$5000,FALSE,'Station Responses'!$K$2:$K$5000,0,'Station Responses'!$L$2:$L$5000,1)/COUNTIFS('Station Responses'!$F$2:$F$5000,"C0S2",'Station Responses'!$T$2:$T$5000,FALSE,'Station Responses'!$K$2:$K$5000,0),"")</f>
        <v/>
      </c>
      <c r="K3" s="7">
        <f>IFERROR(AVERAGEIFS('Station Responses'!$K$2:$K$5000,'Station Responses'!$F$2:$F$5000,"C0S2",'Station Responses'!$T$2:$T$5000,FALSE,'Station Responses'!$S$2:$S$5000,"upper")-AVERAGEIFS('Station Responses'!$K$2:$K$5000,'Station Responses'!$F$2:$F$5000,"C0S2",'Station Responses'!$T$2:$T$5000,FALSE,'Station Responses'!$S$2:$S$5000,"lower"),"")</f>
        <v/>
      </c>
      <c r="L3" s="9">
        <f>IFERROR(AVERAGEIFS('Station Responses'!$P$2:$P$5000,'Station Responses'!$F$2:$F$5000,"C0S2",'Station Responses'!$T$2:$T$5000,FALSE,'Station Responses'!$P$2:$P$5000,"&gt;0"),"")</f>
        <v/>
      </c>
      <c r="M3" s="6">
        <f>IFERROR(COUNTIFS('Station Responses'!$F$2:$F$5000,"C0S2",'Station Responses'!$T$2:$T$5000,FALSE,'Station Responses'!$O$2:$O$5000,"&gt;0")/H3,"")</f>
        <v/>
      </c>
      <c r="N3">
        <f>IF(H3&lt;5,"too few answers",IF(I3&lt;0.3,"very hard — review teaching or item",IF(I3&gt;0.9,"very easy",IF(AND(K3&lt;&gt;"",K3&lt;0.2),"low discrimination — review item","OK"))))</f>
        <v/>
      </c>
      <c r="O3" t="inlineStr">
        <is>
          <t>Ligament disruption explains instability clues.</t>
        </is>
      </c>
    </row>
    <row r="4">
      <c r="A4" t="inlineStr">
        <is>
          <t>C0S3</t>
        </is>
      </c>
      <c r="B4" t="inlineStr">
        <is>
          <t>practice</t>
        </is>
      </c>
      <c r="C4" t="inlineStr">
        <is>
          <t>Pelvis Academy</t>
        </is>
      </c>
      <c r="D4" t="inlineStr">
        <is>
          <t>Force detective</t>
        </is>
      </c>
      <c r="E4" t="inlineStr">
        <is>
          <t>LO1</t>
        </is>
      </c>
      <c r="F4" t="inlineStr">
        <is>
          <t>understand</t>
        </is>
      </c>
      <c r="G4" t="b">
        <v>0</v>
      </c>
      <c r="H4">
        <f>COUNTIFS('Station Responses'!$F$2:$F$5000,"C0S3",'Station Responses'!$T$2:$T$5000,FALSE)</f>
        <v/>
      </c>
      <c r="I4" s="6">
        <f>IFERROR(AVERAGEIFS('Station Responses'!$K$2:$K$5000,'Station Responses'!$F$2:$F$5000,"C0S3",'Station Responses'!$T$2:$T$5000,FALSE),"")</f>
        <v/>
      </c>
      <c r="J4" s="6">
        <f>IFERROR(COUNTIFS('Station Responses'!$F$2:$F$5000,"C0S3",'Station Responses'!$T$2:$T$5000,FALSE,'Station Responses'!$K$2:$K$5000,0,'Station Responses'!$L$2:$L$5000,1)/COUNTIFS('Station Responses'!$F$2:$F$5000,"C0S3",'Station Responses'!$T$2:$T$5000,FALSE,'Station Responses'!$K$2:$K$5000,0),"")</f>
        <v/>
      </c>
      <c r="K4" s="7">
        <f>IFERROR(AVERAGEIFS('Station Responses'!$K$2:$K$5000,'Station Responses'!$F$2:$F$5000,"C0S3",'Station Responses'!$T$2:$T$5000,FALSE,'Station Responses'!$S$2:$S$5000,"upper")-AVERAGEIFS('Station Responses'!$K$2:$K$5000,'Station Responses'!$F$2:$F$5000,"C0S3",'Station Responses'!$T$2:$T$5000,FALSE,'Station Responses'!$S$2:$S$5000,"lower"),"")</f>
        <v/>
      </c>
      <c r="L4" s="9">
        <f>IFERROR(AVERAGEIFS('Station Responses'!$P$2:$P$5000,'Station Responses'!$F$2:$F$5000,"C0S3",'Station Responses'!$T$2:$T$5000,FALSE,'Station Responses'!$P$2:$P$5000,"&gt;0"),"")</f>
        <v/>
      </c>
      <c r="M4" s="6">
        <f>IFERROR(COUNTIFS('Station Responses'!$F$2:$F$5000,"C0S3",'Station Responses'!$T$2:$T$5000,FALSE,'Station Responses'!$O$2:$O$5000,"&gt;0")/H4,"")</f>
        <v/>
      </c>
      <c r="N4">
        <f>IF(H4&lt;5,"too few answers",IF(I4&lt;0.3,"very hard — review teaching or item",IF(I4&gt;0.9,"very easy",IF(AND(K4&lt;&gt;"",K4&lt;0.2),"low discrimination — review item","OK"))))</f>
        <v/>
      </c>
      <c r="O4" t="inlineStr">
        <is>
          <t>Mechanism suggests a pattern, not a definitive diagnosis.</t>
        </is>
      </c>
    </row>
    <row r="5">
      <c r="A5" t="inlineStr">
        <is>
          <t>C0S4</t>
        </is>
      </c>
      <c r="B5" t="inlineStr">
        <is>
          <t>practice</t>
        </is>
      </c>
      <c r="C5" t="inlineStr">
        <is>
          <t>Pelvis Academy</t>
        </is>
      </c>
      <c r="D5" t="inlineStr">
        <is>
          <t>Associated-injury collection</t>
        </is>
      </c>
      <c r="E5" t="inlineStr">
        <is>
          <t>LO1</t>
        </is>
      </c>
      <c r="F5" t="inlineStr">
        <is>
          <t>understand</t>
        </is>
      </c>
      <c r="G5" t="b">
        <v>0</v>
      </c>
      <c r="H5">
        <f>COUNTIFS('Station Responses'!$F$2:$F$5000,"C0S4",'Station Responses'!$T$2:$T$5000,FALSE)</f>
        <v/>
      </c>
      <c r="I5" s="6">
        <f>IFERROR(AVERAGEIFS('Station Responses'!$K$2:$K$5000,'Station Responses'!$F$2:$F$5000,"C0S4",'Station Responses'!$T$2:$T$5000,FALSE),"")</f>
        <v/>
      </c>
      <c r="J5" s="6">
        <f>IFERROR(COUNTIFS('Station Responses'!$F$2:$F$5000,"C0S4",'Station Responses'!$T$2:$T$5000,FALSE,'Station Responses'!$K$2:$K$5000,0,'Station Responses'!$L$2:$L$5000,1)/COUNTIFS('Station Responses'!$F$2:$F$5000,"C0S4",'Station Responses'!$T$2:$T$5000,FALSE,'Station Responses'!$K$2:$K$5000,0),"")</f>
        <v/>
      </c>
      <c r="K5" s="7">
        <f>IFERROR(AVERAGEIFS('Station Responses'!$K$2:$K$5000,'Station Responses'!$F$2:$F$5000,"C0S4",'Station Responses'!$T$2:$T$5000,FALSE,'Station Responses'!$S$2:$S$5000,"upper")-AVERAGEIFS('Station Responses'!$K$2:$K$5000,'Station Responses'!$F$2:$F$5000,"C0S4",'Station Responses'!$T$2:$T$5000,FALSE,'Station Responses'!$S$2:$S$5000,"lower"),"")</f>
        <v/>
      </c>
      <c r="L5" s="9">
        <f>IFERROR(AVERAGEIFS('Station Responses'!$P$2:$P$5000,'Station Responses'!$F$2:$F$5000,"C0S4",'Station Responses'!$T$2:$T$5000,FALSE,'Station Responses'!$P$2:$P$5000,"&gt;0"),"")</f>
        <v/>
      </c>
      <c r="M5" s="6">
        <f>IFERROR(COUNTIFS('Station Responses'!$F$2:$F$5000,"C0S4",'Station Responses'!$T$2:$T$5000,FALSE,'Station Responses'!$O$2:$O$5000,"&gt;0")/H5,"")</f>
        <v/>
      </c>
      <c r="N5">
        <f>IF(H5&lt;5,"too few answers",IF(I5&lt;0.3,"very hard — review teaching or item",IF(I5&gt;0.9,"very easy",IF(AND(K5&lt;&gt;"",K5&lt;0.2),"low discrimination — review item","OK"))))</f>
        <v/>
      </c>
      <c r="O5" t="inlineStr">
        <is>
          <t>Look beyond the pelvis; these percentages describe the supplied source cohort.</t>
        </is>
      </c>
    </row>
    <row r="6">
      <c r="A6" t="inlineStr">
        <is>
          <t>C1S1</t>
        </is>
      </c>
      <c r="B6" t="inlineStr">
        <is>
          <t>practice</t>
        </is>
      </c>
      <c r="C6" t="inlineStr">
        <is>
          <t>Red Alert</t>
        </is>
      </c>
      <c r="D6" t="inlineStr">
        <is>
          <t>Primary survey track</t>
        </is>
      </c>
      <c r="E6" t="inlineStr">
        <is>
          <t>LO2</t>
        </is>
      </c>
      <c r="F6" t="inlineStr">
        <is>
          <t>apply</t>
        </is>
      </c>
      <c r="G6" t="b">
        <v>0</v>
      </c>
      <c r="H6">
        <f>COUNTIFS('Station Responses'!$F$2:$F$5000,"C1S1",'Station Responses'!$T$2:$T$5000,FALSE)</f>
        <v/>
      </c>
      <c r="I6" s="6">
        <f>IFERROR(AVERAGEIFS('Station Responses'!$K$2:$K$5000,'Station Responses'!$F$2:$F$5000,"C1S1",'Station Responses'!$T$2:$T$5000,FALSE),"")</f>
        <v/>
      </c>
      <c r="J6" s="6">
        <f>IFERROR(COUNTIFS('Station Responses'!$F$2:$F$5000,"C1S1",'Station Responses'!$T$2:$T$5000,FALSE,'Station Responses'!$K$2:$K$5000,0,'Station Responses'!$L$2:$L$5000,1)/COUNTIFS('Station Responses'!$F$2:$F$5000,"C1S1",'Station Responses'!$T$2:$T$5000,FALSE,'Station Responses'!$K$2:$K$5000,0),"")</f>
        <v/>
      </c>
      <c r="K6" s="7">
        <f>IFERROR(AVERAGEIFS('Station Responses'!$K$2:$K$5000,'Station Responses'!$F$2:$F$5000,"C1S1",'Station Responses'!$T$2:$T$5000,FALSE,'Station Responses'!$S$2:$S$5000,"upper")-AVERAGEIFS('Station Responses'!$K$2:$K$5000,'Station Responses'!$F$2:$F$5000,"C1S1",'Station Responses'!$T$2:$T$5000,FALSE,'Station Responses'!$S$2:$S$5000,"lower"),"")</f>
        <v/>
      </c>
      <c r="L6" s="9">
        <f>IFERROR(AVERAGEIFS('Station Responses'!$P$2:$P$5000,'Station Responses'!$F$2:$F$5000,"C1S1",'Station Responses'!$T$2:$T$5000,FALSE,'Station Responses'!$P$2:$P$5000,"&gt;0"),"")</f>
        <v/>
      </c>
      <c r="M6" s="6">
        <f>IFERROR(COUNTIFS('Station Responses'!$F$2:$F$5000,"C1S1",'Station Responses'!$T$2:$T$5000,FALSE,'Station Responses'!$O$2:$O$5000,"&gt;0")/H6,"")</f>
        <v/>
      </c>
      <c r="N6">
        <f>IF(H6&lt;5,"too few answers",IF(I6&lt;0.3,"very hard — review teaching or item",IF(I6&gt;0.9,"very easy",IF(AND(K6&lt;&gt;"",K6&lt;0.2),"low discrimination — review item","OK"))))</f>
        <v/>
      </c>
      <c r="O6" t="inlineStr">
        <is>
          <t>ABCDE priorities guide a team working in parallel.</t>
        </is>
      </c>
    </row>
    <row r="7">
      <c r="A7" t="inlineStr">
        <is>
          <t>C1S2</t>
        </is>
      </c>
      <c r="B7" t="inlineStr">
        <is>
          <t>practice</t>
        </is>
      </c>
      <c r="C7" t="inlineStr">
        <is>
          <t>Red Alert</t>
        </is>
      </c>
      <c r="D7" t="inlineStr">
        <is>
          <t>Shock bucket</t>
        </is>
      </c>
      <c r="E7" t="inlineStr">
        <is>
          <t>LO5</t>
        </is>
      </c>
      <c r="F7" t="inlineStr">
        <is>
          <t>understand</t>
        </is>
      </c>
      <c r="G7" t="b">
        <v>0</v>
      </c>
      <c r="H7">
        <f>COUNTIFS('Station Responses'!$F$2:$F$5000,"C1S2",'Station Responses'!$T$2:$T$5000,FALSE)</f>
        <v/>
      </c>
      <c r="I7" s="6">
        <f>IFERROR(AVERAGEIFS('Station Responses'!$K$2:$K$5000,'Station Responses'!$F$2:$F$5000,"C1S2",'Station Responses'!$T$2:$T$5000,FALSE),"")</f>
        <v/>
      </c>
      <c r="J7" s="6">
        <f>IFERROR(COUNTIFS('Station Responses'!$F$2:$F$5000,"C1S2",'Station Responses'!$T$2:$T$5000,FALSE,'Station Responses'!$K$2:$K$5000,0,'Station Responses'!$L$2:$L$5000,1)/COUNTIFS('Station Responses'!$F$2:$F$5000,"C1S2",'Station Responses'!$T$2:$T$5000,FALSE,'Station Responses'!$K$2:$K$5000,0),"")</f>
        <v/>
      </c>
      <c r="K7" s="7">
        <f>IFERROR(AVERAGEIFS('Station Responses'!$K$2:$K$5000,'Station Responses'!$F$2:$F$5000,"C1S2",'Station Responses'!$T$2:$T$5000,FALSE,'Station Responses'!$S$2:$S$5000,"upper")-AVERAGEIFS('Station Responses'!$K$2:$K$5000,'Station Responses'!$F$2:$F$5000,"C1S2",'Station Responses'!$T$2:$T$5000,FALSE,'Station Responses'!$S$2:$S$5000,"lower"),"")</f>
        <v/>
      </c>
      <c r="L7" s="9">
        <f>IFERROR(AVERAGEIFS('Station Responses'!$P$2:$P$5000,'Station Responses'!$F$2:$F$5000,"C1S2",'Station Responses'!$T$2:$T$5000,FALSE,'Station Responses'!$P$2:$P$5000,"&gt;0"),"")</f>
        <v/>
      </c>
      <c r="M7" s="6">
        <f>IFERROR(COUNTIFS('Station Responses'!$F$2:$F$5000,"C1S2",'Station Responses'!$T$2:$T$5000,FALSE,'Station Responses'!$O$2:$O$5000,"&gt;0")/H7,"")</f>
        <v/>
      </c>
      <c r="N7">
        <f>IF(H7&lt;5,"too few answers",IF(I7&lt;0.3,"very hard — review teaching or item",IF(I7&gt;0.9,"very easy",IF(AND(K7&lt;&gt;"",K7&lt;0.2),"low discrimination — review item","OK"))))</f>
        <v/>
      </c>
      <c r="O7" t="inlineStr">
        <is>
          <t>Class III is a teaching estimate; trends and response matter more than a bucket.</t>
        </is>
      </c>
    </row>
    <row r="8">
      <c r="A8" t="inlineStr">
        <is>
          <t>C1S3</t>
        </is>
      </c>
      <c r="B8" t="inlineStr">
        <is>
          <t>practice</t>
        </is>
      </c>
      <c r="C8" t="inlineStr">
        <is>
          <t>Red Alert</t>
        </is>
      </c>
      <c r="D8" t="inlineStr">
        <is>
          <t>Build the resuscitation hand</t>
        </is>
      </c>
      <c r="E8" t="inlineStr">
        <is>
          <t>LO5;LO6</t>
        </is>
      </c>
      <c r="F8" t="inlineStr">
        <is>
          <t>understand</t>
        </is>
      </c>
      <c r="G8" t="b">
        <v>0</v>
      </c>
      <c r="H8">
        <f>COUNTIFS('Station Responses'!$F$2:$F$5000,"C1S3",'Station Responses'!$T$2:$T$5000,FALSE)</f>
        <v/>
      </c>
      <c r="I8" s="6">
        <f>IFERROR(AVERAGEIFS('Station Responses'!$K$2:$K$5000,'Station Responses'!$F$2:$F$5000,"C1S3",'Station Responses'!$T$2:$T$5000,FALSE),"")</f>
        <v/>
      </c>
      <c r="J8" s="6">
        <f>IFERROR(COUNTIFS('Station Responses'!$F$2:$F$5000,"C1S3",'Station Responses'!$T$2:$T$5000,FALSE,'Station Responses'!$K$2:$K$5000,0,'Station Responses'!$L$2:$L$5000,1)/COUNTIFS('Station Responses'!$F$2:$F$5000,"C1S3",'Station Responses'!$T$2:$T$5000,FALSE,'Station Responses'!$K$2:$K$5000,0),"")</f>
        <v/>
      </c>
      <c r="K8" s="7">
        <f>IFERROR(AVERAGEIFS('Station Responses'!$K$2:$K$5000,'Station Responses'!$F$2:$F$5000,"C1S3",'Station Responses'!$T$2:$T$5000,FALSE,'Station Responses'!$S$2:$S$5000,"upper")-AVERAGEIFS('Station Responses'!$K$2:$K$5000,'Station Responses'!$F$2:$F$5000,"C1S3",'Station Responses'!$T$2:$T$5000,FALSE,'Station Responses'!$S$2:$S$5000,"lower"),"")</f>
        <v/>
      </c>
      <c r="L8" s="9">
        <f>IFERROR(AVERAGEIFS('Station Responses'!$P$2:$P$5000,'Station Responses'!$F$2:$F$5000,"C1S3",'Station Responses'!$T$2:$T$5000,FALSE,'Station Responses'!$P$2:$P$5000,"&gt;0"),"")</f>
        <v/>
      </c>
      <c r="M8" s="6">
        <f>IFERROR(COUNTIFS('Station Responses'!$F$2:$F$5000,"C1S3",'Station Responses'!$T$2:$T$5000,FALSE,'Station Responses'!$O$2:$O$5000,"&gt;0")/H8,"")</f>
        <v/>
      </c>
      <c r="N8">
        <f>IF(H8&lt;5,"too few answers",IF(I8&lt;0.3,"very hard — review teaching or item",IF(I8&gt;0.9,"very easy",IF(AND(K8&lt;&gt;"",K8&lt;0.2),"low discrimination — review item","OK"))))</f>
        <v/>
      </c>
      <c r="O8" t="inlineStr">
        <is>
          <t>Prepare access, tests, blood and stabilization while escalating.</t>
        </is>
      </c>
    </row>
    <row r="9">
      <c r="A9" t="inlineStr">
        <is>
          <t>C1S4</t>
        </is>
      </c>
      <c r="B9" t="inlineStr">
        <is>
          <t>practice</t>
        </is>
      </c>
      <c r="C9" t="inlineStr">
        <is>
          <t>Red Alert</t>
        </is>
      </c>
      <c r="D9" t="inlineStr">
        <is>
          <t>Binder workshop on screen</t>
        </is>
      </c>
      <c r="E9" t="inlineStr">
        <is>
          <t>LO6</t>
        </is>
      </c>
      <c r="F9" t="inlineStr">
        <is>
          <t>apply</t>
        </is>
      </c>
      <c r="G9" t="b">
        <v>0</v>
      </c>
      <c r="H9">
        <f>COUNTIFS('Station Responses'!$F$2:$F$5000,"C1S4",'Station Responses'!$T$2:$T$5000,FALSE)</f>
        <v/>
      </c>
      <c r="I9" s="6">
        <f>IFERROR(AVERAGEIFS('Station Responses'!$K$2:$K$5000,'Station Responses'!$F$2:$F$5000,"C1S4",'Station Responses'!$T$2:$T$5000,FALSE),"")</f>
        <v/>
      </c>
      <c r="J9" s="6">
        <f>IFERROR(COUNTIFS('Station Responses'!$F$2:$F$5000,"C1S4",'Station Responses'!$T$2:$T$5000,FALSE,'Station Responses'!$K$2:$K$5000,0,'Station Responses'!$L$2:$L$5000,1)/COUNTIFS('Station Responses'!$F$2:$F$5000,"C1S4",'Station Responses'!$T$2:$T$5000,FALSE,'Station Responses'!$K$2:$K$5000,0),"")</f>
        <v/>
      </c>
      <c r="K9" s="7">
        <f>IFERROR(AVERAGEIFS('Station Responses'!$K$2:$K$5000,'Station Responses'!$F$2:$F$5000,"C1S4",'Station Responses'!$T$2:$T$5000,FALSE,'Station Responses'!$S$2:$S$5000,"upper")-AVERAGEIFS('Station Responses'!$K$2:$K$5000,'Station Responses'!$F$2:$F$5000,"C1S4",'Station Responses'!$T$2:$T$5000,FALSE,'Station Responses'!$S$2:$S$5000,"lower"),"")</f>
        <v/>
      </c>
      <c r="L9" s="9">
        <f>IFERROR(AVERAGEIFS('Station Responses'!$P$2:$P$5000,'Station Responses'!$F$2:$F$5000,"C1S4",'Station Responses'!$T$2:$T$5000,FALSE,'Station Responses'!$P$2:$P$5000,"&gt;0"),"")</f>
        <v/>
      </c>
      <c r="M9" s="6">
        <f>IFERROR(COUNTIFS('Station Responses'!$F$2:$F$5000,"C1S4",'Station Responses'!$T$2:$T$5000,FALSE,'Station Responses'!$O$2:$O$5000,"&gt;0")/H9,"")</f>
        <v/>
      </c>
      <c r="N9">
        <f>IF(H9&lt;5,"too few answers",IF(I9&lt;0.3,"very hard — review teaching or item",IF(I9&gt;0.9,"very easy",IF(AND(K9&lt;&gt;"",K9&lt;0.2),"low discrimination — review item","OK"))))</f>
        <v/>
      </c>
      <c r="O9" t="inlineStr">
        <is>
          <t>Binder for every suspected pelvic fracture: centred on the greater trochanters, snug (not loose, not over-tight), legs internally rotated with padding; remove within 24 h.</t>
        </is>
      </c>
    </row>
    <row r="10">
      <c r="A10" t="inlineStr">
        <is>
          <t>C1S5</t>
        </is>
      </c>
      <c r="B10" t="inlineStr">
        <is>
          <t>practice</t>
        </is>
      </c>
      <c r="C10" t="inlineStr">
        <is>
          <t>Red Alert</t>
        </is>
      </c>
      <c r="D10" t="inlineStr">
        <is>
          <t>Stabilization picture</t>
        </is>
      </c>
      <c r="E10" t="inlineStr">
        <is>
          <t>LO6</t>
        </is>
      </c>
      <c r="F10" t="inlineStr">
        <is>
          <t>apply</t>
        </is>
      </c>
      <c r="G10" t="b">
        <v>0</v>
      </c>
      <c r="H10">
        <f>COUNTIFS('Station Responses'!$F$2:$F$5000,"C1S5",'Station Responses'!$T$2:$T$5000,FALSE)</f>
        <v/>
      </c>
      <c r="I10" s="6">
        <f>IFERROR(AVERAGEIFS('Station Responses'!$K$2:$K$5000,'Station Responses'!$F$2:$F$5000,"C1S5",'Station Responses'!$T$2:$T$5000,FALSE),"")</f>
        <v/>
      </c>
      <c r="J10" s="6">
        <f>IFERROR(COUNTIFS('Station Responses'!$F$2:$F$5000,"C1S5",'Station Responses'!$T$2:$T$5000,FALSE,'Station Responses'!$K$2:$K$5000,0,'Station Responses'!$L$2:$L$5000,1)/COUNTIFS('Station Responses'!$F$2:$F$5000,"C1S5",'Station Responses'!$T$2:$T$5000,FALSE,'Station Responses'!$K$2:$K$5000,0),"")</f>
        <v/>
      </c>
      <c r="K10" s="7">
        <f>IFERROR(AVERAGEIFS('Station Responses'!$K$2:$K$5000,'Station Responses'!$F$2:$F$5000,"C1S5",'Station Responses'!$T$2:$T$5000,FALSE,'Station Responses'!$S$2:$S$5000,"upper")-AVERAGEIFS('Station Responses'!$K$2:$K$5000,'Station Responses'!$F$2:$F$5000,"C1S5",'Station Responses'!$T$2:$T$5000,FALSE,'Station Responses'!$S$2:$S$5000,"lower"),"")</f>
        <v/>
      </c>
      <c r="L10" s="9">
        <f>IFERROR(AVERAGEIFS('Station Responses'!$P$2:$P$5000,'Station Responses'!$F$2:$F$5000,"C1S5",'Station Responses'!$T$2:$T$5000,FALSE,'Station Responses'!$P$2:$P$5000,"&gt;0"),"")</f>
        <v/>
      </c>
      <c r="M10" s="6">
        <f>IFERROR(COUNTIFS('Station Responses'!$F$2:$F$5000,"C1S5",'Station Responses'!$T$2:$T$5000,FALSE,'Station Responses'!$O$2:$O$5000,"&gt;0")/H10,"")</f>
        <v/>
      </c>
      <c r="N10">
        <f>IF(H10&lt;5,"too few answers",IF(I10&lt;0.3,"very hard — review teaching or item",IF(I10&gt;0.9,"very easy",IF(AND(K10&lt;&gt;"",K10&lt;0.2),"low discrimination — review item","OK"))))</f>
        <v/>
      </c>
      <c r="O10" t="inlineStr">
        <is>
          <t>Stabilization supports clot formation; it does not prove bleeding has stopped.</t>
        </is>
      </c>
    </row>
    <row r="11">
      <c r="A11" t="inlineStr">
        <is>
          <t>C1S6</t>
        </is>
      </c>
      <c r="B11" t="inlineStr">
        <is>
          <t>practice</t>
        </is>
      </c>
      <c r="C11" t="inlineStr">
        <is>
          <t>Red Alert</t>
        </is>
      </c>
      <c r="D11" t="inlineStr">
        <is>
          <t>Where is the blood?</t>
        </is>
      </c>
      <c r="E11" t="inlineStr">
        <is>
          <t>LO5</t>
        </is>
      </c>
      <c r="F11" t="inlineStr">
        <is>
          <t>apply</t>
        </is>
      </c>
      <c r="G11" t="b">
        <v>0</v>
      </c>
      <c r="H11">
        <f>COUNTIFS('Station Responses'!$F$2:$F$5000,"C1S6",'Station Responses'!$T$2:$T$5000,FALSE)</f>
        <v/>
      </c>
      <c r="I11" s="6">
        <f>IFERROR(AVERAGEIFS('Station Responses'!$K$2:$K$5000,'Station Responses'!$F$2:$F$5000,"C1S6",'Station Responses'!$T$2:$T$5000,FALSE),"")</f>
        <v/>
      </c>
      <c r="J11" s="6">
        <f>IFERROR(COUNTIFS('Station Responses'!$F$2:$F$5000,"C1S6",'Station Responses'!$T$2:$T$5000,FALSE,'Station Responses'!$K$2:$K$5000,0,'Station Responses'!$L$2:$L$5000,1)/COUNTIFS('Station Responses'!$F$2:$F$5000,"C1S6",'Station Responses'!$T$2:$T$5000,FALSE,'Station Responses'!$K$2:$K$5000,0),"")</f>
        <v/>
      </c>
      <c r="K11" s="7">
        <f>IFERROR(AVERAGEIFS('Station Responses'!$K$2:$K$5000,'Station Responses'!$F$2:$F$5000,"C1S6",'Station Responses'!$T$2:$T$5000,FALSE,'Station Responses'!$S$2:$S$5000,"upper")-AVERAGEIFS('Station Responses'!$K$2:$K$5000,'Station Responses'!$F$2:$F$5000,"C1S6",'Station Responses'!$T$2:$T$5000,FALSE,'Station Responses'!$S$2:$S$5000,"lower"),"")</f>
        <v/>
      </c>
      <c r="L11" s="9">
        <f>IFERROR(AVERAGEIFS('Station Responses'!$P$2:$P$5000,'Station Responses'!$F$2:$F$5000,"C1S6",'Station Responses'!$T$2:$T$5000,FALSE,'Station Responses'!$P$2:$P$5000,"&gt;0"),"")</f>
        <v/>
      </c>
      <c r="M11" s="6">
        <f>IFERROR(COUNTIFS('Station Responses'!$F$2:$F$5000,"C1S6",'Station Responses'!$T$2:$T$5000,FALSE,'Station Responses'!$O$2:$O$5000,"&gt;0")/H11,"")</f>
        <v/>
      </c>
      <c r="N11">
        <f>IF(H11&lt;5,"too few answers",IF(I11&lt;0.3,"very hard — review teaching or item",IF(I11&gt;0.9,"very easy",IF(AND(K11&lt;&gt;"",K11&lt;0.2),"low discrimination — review item","OK"))))</f>
        <v/>
      </c>
      <c r="O11" t="inlineStr">
        <is>
          <t>Bleeding is 80% venous/bone and 20% arterial (superior gluteal most often). Angio-embolization finds an arterial source in only 10–15% and does not stop venous bleeding. 50–69% of unstable fractures need ≥4 U LPRC. Lactate ≥4: keep resuscitating; lactate &lt;4: definitive fixation.</t>
        </is>
      </c>
    </row>
    <row r="12">
      <c r="A12" t="inlineStr">
        <is>
          <t>C1S7</t>
        </is>
      </c>
      <c r="B12" t="inlineStr">
        <is>
          <t>practice</t>
        </is>
      </c>
      <c r="C12" t="inlineStr">
        <is>
          <t>Red Alert</t>
        </is>
      </c>
      <c r="D12" t="inlineStr">
        <is>
          <t>Urgent SBAR</t>
        </is>
      </c>
      <c r="E12" t="inlineStr">
        <is>
          <t>LO7;LO5</t>
        </is>
      </c>
      <c r="F12" t="inlineStr">
        <is>
          <t>apply</t>
        </is>
      </c>
      <c r="G12" t="b">
        <v>0</v>
      </c>
      <c r="H12">
        <f>COUNTIFS('Station Responses'!$F$2:$F$5000,"C1S7",'Station Responses'!$T$2:$T$5000,FALSE)</f>
        <v/>
      </c>
      <c r="I12" s="6">
        <f>IFERROR(AVERAGEIFS('Station Responses'!$K$2:$K$5000,'Station Responses'!$F$2:$F$5000,"C1S7",'Station Responses'!$T$2:$T$5000,FALSE),"")</f>
        <v/>
      </c>
      <c r="J12" s="6">
        <f>IFERROR(COUNTIFS('Station Responses'!$F$2:$F$5000,"C1S7",'Station Responses'!$T$2:$T$5000,FALSE,'Station Responses'!$K$2:$K$5000,0,'Station Responses'!$L$2:$L$5000,1)/COUNTIFS('Station Responses'!$F$2:$F$5000,"C1S7",'Station Responses'!$T$2:$T$5000,FALSE,'Station Responses'!$K$2:$K$5000,0),"")</f>
        <v/>
      </c>
      <c r="K12" s="7">
        <f>IFERROR(AVERAGEIFS('Station Responses'!$K$2:$K$5000,'Station Responses'!$F$2:$F$5000,"C1S7",'Station Responses'!$T$2:$T$5000,FALSE,'Station Responses'!$S$2:$S$5000,"upper")-AVERAGEIFS('Station Responses'!$K$2:$K$5000,'Station Responses'!$F$2:$F$5000,"C1S7",'Station Responses'!$T$2:$T$5000,FALSE,'Station Responses'!$S$2:$S$5000,"lower"),"")</f>
        <v/>
      </c>
      <c r="L12" s="9">
        <f>IFERROR(AVERAGEIFS('Station Responses'!$P$2:$P$5000,'Station Responses'!$F$2:$F$5000,"C1S7",'Station Responses'!$T$2:$T$5000,FALSE,'Station Responses'!$P$2:$P$5000,"&gt;0"),"")</f>
        <v/>
      </c>
      <c r="M12" s="6">
        <f>IFERROR(COUNTIFS('Station Responses'!$F$2:$F$5000,"C1S7",'Station Responses'!$T$2:$T$5000,FALSE,'Station Responses'!$O$2:$O$5000,"&gt;0")/H12,"")</f>
        <v/>
      </c>
      <c r="N12">
        <f>IF(H12&lt;5,"too few answers",IF(I12&lt;0.3,"very hard — review teaching or item",IF(I12&gt;0.9,"very easy",IF(AND(K12&lt;&gt;"",K12&lt;0.2),"low discrimination — review item","OK"))))</f>
        <v/>
      </c>
      <c r="O12" t="inlineStr">
        <is>
          <t>State physiology, response, uncertainty and an urgent request.</t>
        </is>
      </c>
    </row>
    <row r="13">
      <c r="A13" t="inlineStr">
        <is>
          <t>C2S1</t>
        </is>
      </c>
      <c r="B13" t="inlineStr">
        <is>
          <t>practice</t>
        </is>
      </c>
      <c r="C13" t="inlineStr">
        <is>
          <t>The Hidden Fracture</t>
        </is>
      </c>
      <c r="D13" t="inlineStr">
        <is>
          <t>Trauma-series films</t>
        </is>
      </c>
      <c r="E13" t="inlineStr">
        <is>
          <t>LO3</t>
        </is>
      </c>
      <c r="F13" t="inlineStr">
        <is>
          <t>apply</t>
        </is>
      </c>
      <c r="G13" t="b">
        <v>0</v>
      </c>
      <c r="H13">
        <f>COUNTIFS('Station Responses'!$F$2:$F$5000,"C2S1",'Station Responses'!$T$2:$T$5000,FALSE)</f>
        <v/>
      </c>
      <c r="I13" s="6">
        <f>IFERROR(AVERAGEIFS('Station Responses'!$K$2:$K$5000,'Station Responses'!$F$2:$F$5000,"C2S1",'Station Responses'!$T$2:$T$5000,FALSE),"")</f>
        <v/>
      </c>
      <c r="J13" s="6">
        <f>IFERROR(COUNTIFS('Station Responses'!$F$2:$F$5000,"C2S1",'Station Responses'!$T$2:$T$5000,FALSE,'Station Responses'!$K$2:$K$5000,0,'Station Responses'!$L$2:$L$5000,1)/COUNTIFS('Station Responses'!$F$2:$F$5000,"C2S1",'Station Responses'!$T$2:$T$5000,FALSE,'Station Responses'!$K$2:$K$5000,0),"")</f>
        <v/>
      </c>
      <c r="K13" s="7">
        <f>IFERROR(AVERAGEIFS('Station Responses'!$K$2:$K$5000,'Station Responses'!$F$2:$F$5000,"C2S1",'Station Responses'!$T$2:$T$5000,FALSE,'Station Responses'!$S$2:$S$5000,"upper")-AVERAGEIFS('Station Responses'!$K$2:$K$5000,'Station Responses'!$F$2:$F$5000,"C2S1",'Station Responses'!$T$2:$T$5000,FALSE,'Station Responses'!$S$2:$S$5000,"lower"),"")</f>
        <v/>
      </c>
      <c r="L13" s="9">
        <f>IFERROR(AVERAGEIFS('Station Responses'!$P$2:$P$5000,'Station Responses'!$F$2:$F$5000,"C2S1",'Station Responses'!$T$2:$T$5000,FALSE,'Station Responses'!$P$2:$P$5000,"&gt;0"),"")</f>
        <v/>
      </c>
      <c r="M13" s="6">
        <f>IFERROR(COUNTIFS('Station Responses'!$F$2:$F$5000,"C2S1",'Station Responses'!$T$2:$T$5000,FALSE,'Station Responses'!$O$2:$O$5000,"&gt;0")/H13,"")</f>
        <v/>
      </c>
      <c r="N13">
        <f>IF(H13&lt;5,"too few answers",IF(I13&lt;0.3,"very hard — review teaching or item",IF(I13&gt;0.9,"very easy",IF(AND(K13&lt;&gt;"",K13&lt;0.2),"low discrimination — review item","OK"))))</f>
        <v/>
      </c>
      <c r="O13" t="inlineStr">
        <is>
          <t>Trauma series: C-spine lateral, chest AP and pelvis AP. The AP pelvis picks up about 90% of pelvic fractures; posterior injuries can still be missed.</t>
        </is>
      </c>
    </row>
    <row r="14">
      <c r="A14" t="inlineStr">
        <is>
          <t>C2S2</t>
        </is>
      </c>
      <c r="B14" t="inlineStr">
        <is>
          <t>practice</t>
        </is>
      </c>
      <c r="C14" t="inlineStr">
        <is>
          <t>The Hidden Fracture</t>
        </is>
      </c>
      <c r="D14" t="inlineStr">
        <is>
          <t>Read the ring</t>
        </is>
      </c>
      <c r="E14" t="inlineStr">
        <is>
          <t>LO3</t>
        </is>
      </c>
      <c r="F14" t="inlineStr">
        <is>
          <t>apply</t>
        </is>
      </c>
      <c r="G14" t="b">
        <v>0</v>
      </c>
      <c r="H14">
        <f>COUNTIFS('Station Responses'!$F$2:$F$5000,"C2S2",'Station Responses'!$T$2:$T$5000,FALSE)</f>
        <v/>
      </c>
      <c r="I14" s="6">
        <f>IFERROR(AVERAGEIFS('Station Responses'!$K$2:$K$5000,'Station Responses'!$F$2:$F$5000,"C2S2",'Station Responses'!$T$2:$T$5000,FALSE),"")</f>
        <v/>
      </c>
      <c r="J14" s="6">
        <f>IFERROR(COUNTIFS('Station Responses'!$F$2:$F$5000,"C2S2",'Station Responses'!$T$2:$T$5000,FALSE,'Station Responses'!$K$2:$K$5000,0,'Station Responses'!$L$2:$L$5000,1)/COUNTIFS('Station Responses'!$F$2:$F$5000,"C2S2",'Station Responses'!$T$2:$T$5000,FALSE,'Station Responses'!$K$2:$K$5000,0),"")</f>
        <v/>
      </c>
      <c r="K14" s="7">
        <f>IFERROR(AVERAGEIFS('Station Responses'!$K$2:$K$5000,'Station Responses'!$F$2:$F$5000,"C2S2",'Station Responses'!$T$2:$T$5000,FALSE,'Station Responses'!$S$2:$S$5000,"upper")-AVERAGEIFS('Station Responses'!$K$2:$K$5000,'Station Responses'!$F$2:$F$5000,"C2S2",'Station Responses'!$T$2:$T$5000,FALSE,'Station Responses'!$S$2:$S$5000,"lower"),"")</f>
        <v/>
      </c>
      <c r="L14" s="9">
        <f>IFERROR(AVERAGEIFS('Station Responses'!$P$2:$P$5000,'Station Responses'!$F$2:$F$5000,"C2S2",'Station Responses'!$T$2:$T$5000,FALSE,'Station Responses'!$P$2:$P$5000,"&gt;0"),"")</f>
        <v/>
      </c>
      <c r="M14" s="6">
        <f>IFERROR(COUNTIFS('Station Responses'!$F$2:$F$5000,"C2S2",'Station Responses'!$T$2:$T$5000,FALSE,'Station Responses'!$O$2:$O$5000,"&gt;0")/H14,"")</f>
        <v/>
      </c>
      <c r="N14">
        <f>IF(H14&lt;5,"too few answers",IF(I14&lt;0.3,"very hard — review teaching or item",IF(I14&gt;0.9,"very easy",IF(AND(K14&lt;&gt;"",K14&lt;0.2),"low discrimination — review item","OK"))))</f>
        <v/>
      </c>
      <c r="O14" t="inlineStr">
        <is>
          <t>Read the AP pelvis systematically around the whole ring and both hips. Four rami broken (straddle fracture) means: suspect a posterior ring injury too.</t>
        </is>
      </c>
    </row>
    <row r="15">
      <c r="A15" t="inlineStr">
        <is>
          <t>C2S3</t>
        </is>
      </c>
      <c r="B15" t="inlineStr">
        <is>
          <t>practice</t>
        </is>
      </c>
      <c r="C15" t="inlineStr">
        <is>
          <t>The Hidden Fracture</t>
        </is>
      </c>
      <c r="D15" t="inlineStr">
        <is>
          <t>Beam and view pairs</t>
        </is>
      </c>
      <c r="E15" t="inlineStr">
        <is>
          <t>LO3</t>
        </is>
      </c>
      <c r="F15" t="inlineStr">
        <is>
          <t>understand</t>
        </is>
      </c>
      <c r="G15" t="b">
        <v>0</v>
      </c>
      <c r="H15">
        <f>COUNTIFS('Station Responses'!$F$2:$F$5000,"C2S3",'Station Responses'!$T$2:$T$5000,FALSE)</f>
        <v/>
      </c>
      <c r="I15" s="6">
        <f>IFERROR(AVERAGEIFS('Station Responses'!$K$2:$K$5000,'Station Responses'!$F$2:$F$5000,"C2S3",'Station Responses'!$T$2:$T$5000,FALSE),"")</f>
        <v/>
      </c>
      <c r="J15" s="6">
        <f>IFERROR(COUNTIFS('Station Responses'!$F$2:$F$5000,"C2S3",'Station Responses'!$T$2:$T$5000,FALSE,'Station Responses'!$K$2:$K$5000,0,'Station Responses'!$L$2:$L$5000,1)/COUNTIFS('Station Responses'!$F$2:$F$5000,"C2S3",'Station Responses'!$T$2:$T$5000,FALSE,'Station Responses'!$K$2:$K$5000,0),"")</f>
        <v/>
      </c>
      <c r="K15" s="7">
        <f>IFERROR(AVERAGEIFS('Station Responses'!$K$2:$K$5000,'Station Responses'!$F$2:$F$5000,"C2S3",'Station Responses'!$T$2:$T$5000,FALSE,'Station Responses'!$S$2:$S$5000,"upper")-AVERAGEIFS('Station Responses'!$K$2:$K$5000,'Station Responses'!$F$2:$F$5000,"C2S3",'Station Responses'!$T$2:$T$5000,FALSE,'Station Responses'!$S$2:$S$5000,"lower"),"")</f>
        <v/>
      </c>
      <c r="L15" s="9">
        <f>IFERROR(AVERAGEIFS('Station Responses'!$P$2:$P$5000,'Station Responses'!$F$2:$F$5000,"C2S3",'Station Responses'!$T$2:$T$5000,FALSE,'Station Responses'!$P$2:$P$5000,"&gt;0"),"")</f>
        <v/>
      </c>
      <c r="M15" s="6">
        <f>IFERROR(COUNTIFS('Station Responses'!$F$2:$F$5000,"C2S3",'Station Responses'!$T$2:$T$5000,FALSE,'Station Responses'!$O$2:$O$5000,"&gt;0")/H15,"")</f>
        <v/>
      </c>
      <c r="N15">
        <f>IF(H15&lt;5,"too few answers",IF(I15&lt;0.3,"very hard — review teaching or item",IF(I15&gt;0.9,"very easy",IF(AND(K15&lt;&gt;"",K15&lt;0.2),"low discrimination — review item","OK"))))</f>
        <v/>
      </c>
      <c r="O15" t="inlineStr">
        <is>
          <t>Inlet assesses AP displacement; outlet assesses vertical displacement.</t>
        </is>
      </c>
    </row>
    <row r="16">
      <c r="A16" t="inlineStr">
        <is>
          <t>C2S4</t>
        </is>
      </c>
      <c r="B16" t="inlineStr">
        <is>
          <t>practice</t>
        </is>
      </c>
      <c r="C16" t="inlineStr">
        <is>
          <t>The Hidden Fracture</t>
        </is>
      </c>
      <c r="D16" t="inlineStr">
        <is>
          <t>Stability clue sort</t>
        </is>
      </c>
      <c r="E16" t="inlineStr">
        <is>
          <t>LO3</t>
        </is>
      </c>
      <c r="F16" t="inlineStr">
        <is>
          <t>understand</t>
        </is>
      </c>
      <c r="G16" t="b">
        <v>0</v>
      </c>
      <c r="H16">
        <f>COUNTIFS('Station Responses'!$F$2:$F$5000,"C2S4",'Station Responses'!$T$2:$T$5000,FALSE)</f>
        <v/>
      </c>
      <c r="I16" s="6">
        <f>IFERROR(AVERAGEIFS('Station Responses'!$K$2:$K$5000,'Station Responses'!$F$2:$F$5000,"C2S4",'Station Responses'!$T$2:$T$5000,FALSE),"")</f>
        <v/>
      </c>
      <c r="J16" s="6">
        <f>IFERROR(COUNTIFS('Station Responses'!$F$2:$F$5000,"C2S4",'Station Responses'!$T$2:$T$5000,FALSE,'Station Responses'!$K$2:$K$5000,0,'Station Responses'!$L$2:$L$5000,1)/COUNTIFS('Station Responses'!$F$2:$F$5000,"C2S4",'Station Responses'!$T$2:$T$5000,FALSE,'Station Responses'!$K$2:$K$5000,0),"")</f>
        <v/>
      </c>
      <c r="K16" s="7">
        <f>IFERROR(AVERAGEIFS('Station Responses'!$K$2:$K$5000,'Station Responses'!$F$2:$F$5000,"C2S4",'Station Responses'!$T$2:$T$5000,FALSE,'Station Responses'!$S$2:$S$5000,"upper")-AVERAGEIFS('Station Responses'!$K$2:$K$5000,'Station Responses'!$F$2:$F$5000,"C2S4",'Station Responses'!$T$2:$T$5000,FALSE,'Station Responses'!$S$2:$S$5000,"lower"),"")</f>
        <v/>
      </c>
      <c r="L16" s="9">
        <f>IFERROR(AVERAGEIFS('Station Responses'!$P$2:$P$5000,'Station Responses'!$F$2:$F$5000,"C2S4",'Station Responses'!$T$2:$T$5000,FALSE,'Station Responses'!$P$2:$P$5000,"&gt;0"),"")</f>
        <v/>
      </c>
      <c r="M16" s="6">
        <f>IFERROR(COUNTIFS('Station Responses'!$F$2:$F$5000,"C2S4",'Station Responses'!$T$2:$T$5000,FALSE,'Station Responses'!$O$2:$O$5000,"&gt;0")/H16,"")</f>
        <v/>
      </c>
      <c r="N16">
        <f>IF(H16&lt;5,"too few answers",IF(I16&lt;0.3,"very hard — review teaching or item",IF(I16&gt;0.9,"very easy",IF(AND(K16&lt;&gt;"",K16&lt;0.2),"low discrimination — review item","OK"))))</f>
        <v/>
      </c>
      <c r="O16" t="inlineStr">
        <is>
          <t>Normal physiology is not proof of mechanical stability.</t>
        </is>
      </c>
    </row>
    <row r="17">
      <c r="A17" t="inlineStr">
        <is>
          <t>C2S5</t>
        </is>
      </c>
      <c r="B17" t="inlineStr">
        <is>
          <t>practice</t>
        </is>
      </c>
      <c r="C17" t="inlineStr">
        <is>
          <t>The Hidden Fracture</t>
        </is>
      </c>
      <c r="D17" t="inlineStr">
        <is>
          <t>Safe CT transfer</t>
        </is>
      </c>
      <c r="E17" t="inlineStr">
        <is>
          <t>LO3;LO5</t>
        </is>
      </c>
      <c r="F17" t="inlineStr">
        <is>
          <t>apply</t>
        </is>
      </c>
      <c r="G17" t="b">
        <v>0</v>
      </c>
      <c r="H17">
        <f>COUNTIFS('Station Responses'!$F$2:$F$5000,"C2S5",'Station Responses'!$T$2:$T$5000,FALSE)</f>
        <v/>
      </c>
      <c r="I17" s="6">
        <f>IFERROR(AVERAGEIFS('Station Responses'!$K$2:$K$5000,'Station Responses'!$F$2:$F$5000,"C2S5",'Station Responses'!$T$2:$T$5000,FALSE),"")</f>
        <v/>
      </c>
      <c r="J17" s="6">
        <f>IFERROR(COUNTIFS('Station Responses'!$F$2:$F$5000,"C2S5",'Station Responses'!$T$2:$T$5000,FALSE,'Station Responses'!$K$2:$K$5000,0,'Station Responses'!$L$2:$L$5000,1)/COUNTIFS('Station Responses'!$F$2:$F$5000,"C2S5",'Station Responses'!$T$2:$T$5000,FALSE,'Station Responses'!$K$2:$K$5000,0),"")</f>
        <v/>
      </c>
      <c r="K17" s="7">
        <f>IFERROR(AVERAGEIFS('Station Responses'!$K$2:$K$5000,'Station Responses'!$F$2:$F$5000,"C2S5",'Station Responses'!$T$2:$T$5000,FALSE,'Station Responses'!$S$2:$S$5000,"upper")-AVERAGEIFS('Station Responses'!$K$2:$K$5000,'Station Responses'!$F$2:$F$5000,"C2S5",'Station Responses'!$T$2:$T$5000,FALSE,'Station Responses'!$S$2:$S$5000,"lower"),"")</f>
        <v/>
      </c>
      <c r="L17" s="9">
        <f>IFERROR(AVERAGEIFS('Station Responses'!$P$2:$P$5000,'Station Responses'!$F$2:$F$5000,"C2S5",'Station Responses'!$T$2:$T$5000,FALSE,'Station Responses'!$P$2:$P$5000,"&gt;0"),"")</f>
        <v/>
      </c>
      <c r="M17" s="6">
        <f>IFERROR(COUNTIFS('Station Responses'!$F$2:$F$5000,"C2S5",'Station Responses'!$T$2:$T$5000,FALSE,'Station Responses'!$O$2:$O$5000,"&gt;0")/H17,"")</f>
        <v/>
      </c>
      <c r="N17">
        <f>IF(H17&lt;5,"too few answers",IF(I17&lt;0.3,"very hard — review teaching or item",IF(I17&gt;0.9,"very easy",IF(AND(K17&lt;&gt;"",K17&lt;0.2),"low discrimination — review item","OK"))))</f>
        <v/>
      </c>
      <c r="O17" t="inlineStr">
        <is>
          <t>Reassess physiology and capability before CT, while treatment continues.</t>
        </is>
      </c>
    </row>
    <row r="18">
      <c r="A18" t="inlineStr">
        <is>
          <t>C2S6</t>
        </is>
      </c>
      <c r="B18" t="inlineStr">
        <is>
          <t>practice</t>
        </is>
      </c>
      <c r="C18" t="inlineStr">
        <is>
          <t>The Hidden Fracture</t>
        </is>
      </c>
      <c r="D18" t="inlineStr">
        <is>
          <t>Pattern and urgency</t>
        </is>
      </c>
      <c r="E18" t="inlineStr">
        <is>
          <t>LO1;LO3;LO7</t>
        </is>
      </c>
      <c r="F18" t="inlineStr">
        <is>
          <t>apply</t>
        </is>
      </c>
      <c r="G18" t="b">
        <v>0</v>
      </c>
      <c r="H18">
        <f>COUNTIFS('Station Responses'!$F$2:$F$5000,"C2S6",'Station Responses'!$T$2:$T$5000,FALSE)</f>
        <v/>
      </c>
      <c r="I18" s="6">
        <f>IFERROR(AVERAGEIFS('Station Responses'!$K$2:$K$5000,'Station Responses'!$F$2:$F$5000,"C2S6",'Station Responses'!$T$2:$T$5000,FALSE),"")</f>
        <v/>
      </c>
      <c r="J18" s="6">
        <f>IFERROR(COUNTIFS('Station Responses'!$F$2:$F$5000,"C2S6",'Station Responses'!$T$2:$T$5000,FALSE,'Station Responses'!$K$2:$K$5000,0,'Station Responses'!$L$2:$L$5000,1)/COUNTIFS('Station Responses'!$F$2:$F$5000,"C2S6",'Station Responses'!$T$2:$T$5000,FALSE,'Station Responses'!$K$2:$K$5000,0),"")</f>
        <v/>
      </c>
      <c r="K18" s="7">
        <f>IFERROR(AVERAGEIFS('Station Responses'!$K$2:$K$5000,'Station Responses'!$F$2:$F$5000,"C2S6",'Station Responses'!$T$2:$T$5000,FALSE,'Station Responses'!$S$2:$S$5000,"upper")-AVERAGEIFS('Station Responses'!$K$2:$K$5000,'Station Responses'!$F$2:$F$5000,"C2S6",'Station Responses'!$T$2:$T$5000,FALSE,'Station Responses'!$S$2:$S$5000,"lower"),"")</f>
        <v/>
      </c>
      <c r="L18" s="9">
        <f>IFERROR(AVERAGEIFS('Station Responses'!$P$2:$P$5000,'Station Responses'!$F$2:$F$5000,"C2S6",'Station Responses'!$T$2:$T$5000,FALSE,'Station Responses'!$P$2:$P$5000,"&gt;0"),"")</f>
        <v/>
      </c>
      <c r="M18" s="6">
        <f>IFERROR(COUNTIFS('Station Responses'!$F$2:$F$5000,"C2S6",'Station Responses'!$T$2:$T$5000,FALSE,'Station Responses'!$O$2:$O$5000,"&gt;0")/H18,"")</f>
        <v/>
      </c>
      <c r="N18">
        <f>IF(H18&lt;5,"too few answers",IF(I18&lt;0.3,"very hard — review teaching or item",IF(I18&gt;0.9,"very easy",IF(AND(K18&lt;&gt;"",K18&lt;0.2),"low discrimination — review item","OK"))))</f>
        <v/>
      </c>
      <c r="O18" t="inlineStr">
        <is>
          <t>Source-reported hip dislocation is an orthopaedic urgency; escalate, do not reduce independently.</t>
        </is>
      </c>
    </row>
    <row r="19">
      <c r="A19" t="inlineStr">
        <is>
          <t>C3S1</t>
        </is>
      </c>
      <c r="B19" t="inlineStr">
        <is>
          <t>practice</t>
        </is>
      </c>
      <c r="C19" t="inlineStr">
        <is>
          <t>Danger Down Below</t>
        </is>
      </c>
      <c r="D19" t="inlineStr">
        <is>
          <t>AMPLE collection</t>
        </is>
      </c>
      <c r="E19" t="inlineStr">
        <is>
          <t>LO2</t>
        </is>
      </c>
      <c r="F19" t="inlineStr">
        <is>
          <t>apply</t>
        </is>
      </c>
      <c r="G19" t="b">
        <v>0</v>
      </c>
      <c r="H19">
        <f>COUNTIFS('Station Responses'!$F$2:$F$5000,"C3S1",'Station Responses'!$T$2:$T$5000,FALSE)</f>
        <v/>
      </c>
      <c r="I19" s="6">
        <f>IFERROR(AVERAGEIFS('Station Responses'!$K$2:$K$5000,'Station Responses'!$F$2:$F$5000,"C3S1",'Station Responses'!$T$2:$T$5000,FALSE),"")</f>
        <v/>
      </c>
      <c r="J19" s="6">
        <f>IFERROR(COUNTIFS('Station Responses'!$F$2:$F$5000,"C3S1",'Station Responses'!$T$2:$T$5000,FALSE,'Station Responses'!$K$2:$K$5000,0,'Station Responses'!$L$2:$L$5000,1)/COUNTIFS('Station Responses'!$F$2:$F$5000,"C3S1",'Station Responses'!$T$2:$T$5000,FALSE,'Station Responses'!$K$2:$K$5000,0),"")</f>
        <v/>
      </c>
      <c r="K19" s="7">
        <f>IFERROR(AVERAGEIFS('Station Responses'!$K$2:$K$5000,'Station Responses'!$F$2:$F$5000,"C3S1",'Station Responses'!$T$2:$T$5000,FALSE,'Station Responses'!$S$2:$S$5000,"upper")-AVERAGEIFS('Station Responses'!$K$2:$K$5000,'Station Responses'!$F$2:$F$5000,"C3S1",'Station Responses'!$T$2:$T$5000,FALSE,'Station Responses'!$S$2:$S$5000,"lower"),"")</f>
        <v/>
      </c>
      <c r="L19" s="9">
        <f>IFERROR(AVERAGEIFS('Station Responses'!$P$2:$P$5000,'Station Responses'!$F$2:$F$5000,"C3S1",'Station Responses'!$T$2:$T$5000,FALSE,'Station Responses'!$P$2:$P$5000,"&gt;0"),"")</f>
        <v/>
      </c>
      <c r="M19" s="6">
        <f>IFERROR(COUNTIFS('Station Responses'!$F$2:$F$5000,"C3S1",'Station Responses'!$T$2:$T$5000,FALSE,'Station Responses'!$O$2:$O$5000,"&gt;0")/H19,"")</f>
        <v/>
      </c>
      <c r="N19">
        <f>IF(H19&lt;5,"too few answers",IF(I19&lt;0.3,"very hard — review teaching or item",IF(I19&gt;0.9,"very easy",IF(AND(K19&lt;&gt;"",K19&lt;0.2),"low discrimination — review item","OK"))))</f>
        <v/>
      </c>
      <c r="O19" t="inlineStr">
        <is>
          <t>Gather AMPLE without delaying resuscitation.</t>
        </is>
      </c>
    </row>
    <row r="20">
      <c r="A20" t="inlineStr">
        <is>
          <t>C3S2</t>
        </is>
      </c>
      <c r="B20" t="inlineStr">
        <is>
          <t>practice</t>
        </is>
      </c>
      <c r="C20" t="inlineStr">
        <is>
          <t>Danger Down Below</t>
        </is>
      </c>
      <c r="D20" t="inlineStr">
        <is>
          <t>Sensitive examination clues</t>
        </is>
      </c>
      <c r="E20" t="inlineStr">
        <is>
          <t>LO2;LO4</t>
        </is>
      </c>
      <c r="F20" t="inlineStr">
        <is>
          <t>understand</t>
        </is>
      </c>
      <c r="G20" t="b">
        <v>0</v>
      </c>
      <c r="H20">
        <f>COUNTIFS('Station Responses'!$F$2:$F$5000,"C3S2",'Station Responses'!$T$2:$T$5000,FALSE)</f>
        <v/>
      </c>
      <c r="I20" s="6">
        <f>IFERROR(AVERAGEIFS('Station Responses'!$K$2:$K$5000,'Station Responses'!$F$2:$F$5000,"C3S2",'Station Responses'!$T$2:$T$5000,FALSE),"")</f>
        <v/>
      </c>
      <c r="J20" s="6">
        <f>IFERROR(COUNTIFS('Station Responses'!$F$2:$F$5000,"C3S2",'Station Responses'!$T$2:$T$5000,FALSE,'Station Responses'!$K$2:$K$5000,0,'Station Responses'!$L$2:$L$5000,1)/COUNTIFS('Station Responses'!$F$2:$F$5000,"C3S2",'Station Responses'!$T$2:$T$5000,FALSE,'Station Responses'!$K$2:$K$5000,0),"")</f>
        <v/>
      </c>
      <c r="K20" s="7">
        <f>IFERROR(AVERAGEIFS('Station Responses'!$K$2:$K$5000,'Station Responses'!$F$2:$F$5000,"C3S2",'Station Responses'!$T$2:$T$5000,FALSE,'Station Responses'!$S$2:$S$5000,"upper")-AVERAGEIFS('Station Responses'!$K$2:$K$5000,'Station Responses'!$F$2:$F$5000,"C3S2",'Station Responses'!$T$2:$T$5000,FALSE,'Station Responses'!$S$2:$S$5000,"lower"),"")</f>
        <v/>
      </c>
      <c r="L20" s="9">
        <f>IFERROR(AVERAGEIFS('Station Responses'!$P$2:$P$5000,'Station Responses'!$F$2:$F$5000,"C3S2",'Station Responses'!$T$2:$T$5000,FALSE,'Station Responses'!$P$2:$P$5000,"&gt;0"),"")</f>
        <v/>
      </c>
      <c r="M20" s="6">
        <f>IFERROR(COUNTIFS('Station Responses'!$F$2:$F$5000,"C3S2",'Station Responses'!$T$2:$T$5000,FALSE,'Station Responses'!$O$2:$O$5000,"&gt;0")/H20,"")</f>
        <v/>
      </c>
      <c r="N20">
        <f>IF(H20&lt;5,"too few answers",IF(I20&lt;0.3,"very hard — review teaching or item",IF(I20&gt;0.9,"very easy",IF(AND(K20&lt;&gt;"",K20&lt;0.2),"low discrimination — review item","OK"))))</f>
        <v/>
      </c>
      <c r="O20" t="inlineStr">
        <is>
          <t>Examine the perineum with consent and a chaperone: blood at the meatus or a high-riding prostate on PR suggests urethral injury; blood on PR or PV means an open (internal) pelvic fracture until proven otherwise.</t>
        </is>
      </c>
    </row>
    <row r="21">
      <c r="A21" t="inlineStr">
        <is>
          <t>C3S3</t>
        </is>
      </c>
      <c r="B21" t="inlineStr">
        <is>
          <t>practice</t>
        </is>
      </c>
      <c r="C21" t="inlineStr">
        <is>
          <t>Danger Down Below</t>
        </is>
      </c>
      <c r="D21" t="inlineStr">
        <is>
          <t>Compression-test safety</t>
        </is>
      </c>
      <c r="E21" t="inlineStr">
        <is>
          <t>LO2</t>
        </is>
      </c>
      <c r="F21" t="inlineStr">
        <is>
          <t>apply</t>
        </is>
      </c>
      <c r="G21" t="b">
        <v>0</v>
      </c>
      <c r="H21">
        <f>COUNTIFS('Station Responses'!$F$2:$F$5000,"C3S3",'Station Responses'!$T$2:$T$5000,FALSE)</f>
        <v/>
      </c>
      <c r="I21" s="6">
        <f>IFERROR(AVERAGEIFS('Station Responses'!$K$2:$K$5000,'Station Responses'!$F$2:$F$5000,"C3S3",'Station Responses'!$T$2:$T$5000,FALSE),"")</f>
        <v/>
      </c>
      <c r="J21" s="6">
        <f>IFERROR(COUNTIFS('Station Responses'!$F$2:$F$5000,"C3S3",'Station Responses'!$T$2:$T$5000,FALSE,'Station Responses'!$K$2:$K$5000,0,'Station Responses'!$L$2:$L$5000,1)/COUNTIFS('Station Responses'!$F$2:$F$5000,"C3S3",'Station Responses'!$T$2:$T$5000,FALSE,'Station Responses'!$K$2:$K$5000,0),"")</f>
        <v/>
      </c>
      <c r="K21" s="7">
        <f>IFERROR(AVERAGEIFS('Station Responses'!$K$2:$K$5000,'Station Responses'!$F$2:$F$5000,"C3S3",'Station Responses'!$T$2:$T$5000,FALSE,'Station Responses'!$S$2:$S$5000,"upper")-AVERAGEIFS('Station Responses'!$K$2:$K$5000,'Station Responses'!$F$2:$F$5000,"C3S3",'Station Responses'!$T$2:$T$5000,FALSE,'Station Responses'!$S$2:$S$5000,"lower"),"")</f>
        <v/>
      </c>
      <c r="L21" s="9">
        <f>IFERROR(AVERAGEIFS('Station Responses'!$P$2:$P$5000,'Station Responses'!$F$2:$F$5000,"C3S3",'Station Responses'!$T$2:$T$5000,FALSE,'Station Responses'!$P$2:$P$5000,"&gt;0"),"")</f>
        <v/>
      </c>
      <c r="M21" s="6">
        <f>IFERROR(COUNTIFS('Station Responses'!$F$2:$F$5000,"C3S3",'Station Responses'!$T$2:$T$5000,FALSE,'Station Responses'!$O$2:$O$5000,"&gt;0")/H21,"")</f>
        <v/>
      </c>
      <c r="N21">
        <f>IF(H21&lt;5,"too few answers",IF(I21&lt;0.3,"very hard — review teaching or item",IF(I21&gt;0.9,"very easy",IF(AND(K21&lt;&gt;"",K21&lt;0.2),"low discrimination — review item","OK"))))</f>
        <v/>
      </c>
      <c r="O21" t="inlineStr">
        <is>
          <t>Pelvic compression test = 3 gentle manoeuvres, done once only. Do not do it in an unstable patient, and stop after the first positive step.</t>
        </is>
      </c>
    </row>
    <row r="22">
      <c r="A22" t="inlineStr">
        <is>
          <t>C3S4</t>
        </is>
      </c>
      <c r="B22" t="inlineStr">
        <is>
          <t>practice</t>
        </is>
      </c>
      <c r="C22" t="inlineStr">
        <is>
          <t>Danger Down Below</t>
        </is>
      </c>
      <c r="D22" t="inlineStr">
        <is>
          <t>Open, closed or degloving?</t>
        </is>
      </c>
      <c r="E22" t="inlineStr">
        <is>
          <t>LO4</t>
        </is>
      </c>
      <c r="F22" t="inlineStr">
        <is>
          <t>understand</t>
        </is>
      </c>
      <c r="G22" t="b">
        <v>0</v>
      </c>
      <c r="H22">
        <f>COUNTIFS('Station Responses'!$F$2:$F$5000,"C3S4",'Station Responses'!$T$2:$T$5000,FALSE)</f>
        <v/>
      </c>
      <c r="I22" s="6">
        <f>IFERROR(AVERAGEIFS('Station Responses'!$K$2:$K$5000,'Station Responses'!$F$2:$F$5000,"C3S4",'Station Responses'!$T$2:$T$5000,FALSE),"")</f>
        <v/>
      </c>
      <c r="J22" s="6">
        <f>IFERROR(COUNTIFS('Station Responses'!$F$2:$F$5000,"C3S4",'Station Responses'!$T$2:$T$5000,FALSE,'Station Responses'!$K$2:$K$5000,0,'Station Responses'!$L$2:$L$5000,1)/COUNTIFS('Station Responses'!$F$2:$F$5000,"C3S4",'Station Responses'!$T$2:$T$5000,FALSE,'Station Responses'!$K$2:$K$5000,0),"")</f>
        <v/>
      </c>
      <c r="K22" s="7">
        <f>IFERROR(AVERAGEIFS('Station Responses'!$K$2:$K$5000,'Station Responses'!$F$2:$F$5000,"C3S4",'Station Responses'!$T$2:$T$5000,FALSE,'Station Responses'!$S$2:$S$5000,"upper")-AVERAGEIFS('Station Responses'!$K$2:$K$5000,'Station Responses'!$F$2:$F$5000,"C3S4",'Station Responses'!$T$2:$T$5000,FALSE,'Station Responses'!$S$2:$S$5000,"lower"),"")</f>
        <v/>
      </c>
      <c r="L22" s="9">
        <f>IFERROR(AVERAGEIFS('Station Responses'!$P$2:$P$5000,'Station Responses'!$F$2:$F$5000,"C3S4",'Station Responses'!$T$2:$T$5000,FALSE,'Station Responses'!$P$2:$P$5000,"&gt;0"),"")</f>
        <v/>
      </c>
      <c r="M22" s="6">
        <f>IFERROR(COUNTIFS('Station Responses'!$F$2:$F$5000,"C3S4",'Station Responses'!$T$2:$T$5000,FALSE,'Station Responses'!$O$2:$O$5000,"&gt;0")/H22,"")</f>
        <v/>
      </c>
      <c r="N22">
        <f>IF(H22&lt;5,"too few answers",IF(I22&lt;0.3,"very hard — review teaching or item",IF(I22&gt;0.9,"very easy",IF(AND(K22&lt;&gt;"",K22&lt;0.2),"low discrimination — review item","OK"))))</f>
        <v/>
      </c>
      <c r="O22" t="inlineStr">
        <is>
          <t>Open = a wound that communicates with the fracture: external (perineal wound, fat globules or bone in the wound) or internal (blood PR/PV). Mortality of open pelvic fracture is 30–50%.</t>
        </is>
      </c>
    </row>
    <row r="23">
      <c r="A23" t="inlineStr">
        <is>
          <t>C3S5</t>
        </is>
      </c>
      <c r="B23" t="inlineStr">
        <is>
          <t>practice</t>
        </is>
      </c>
      <c r="C23" t="inlineStr">
        <is>
          <t>Danger Down Below</t>
        </is>
      </c>
      <c r="D23" t="inlineStr">
        <is>
          <t>GU danger cards</t>
        </is>
      </c>
      <c r="E23" t="inlineStr">
        <is>
          <t>LO2;LO5</t>
        </is>
      </c>
      <c r="F23" t="inlineStr">
        <is>
          <t>apply</t>
        </is>
      </c>
      <c r="G23" t="b">
        <v>0</v>
      </c>
      <c r="H23">
        <f>COUNTIFS('Station Responses'!$F$2:$F$5000,"C3S5",'Station Responses'!$T$2:$T$5000,FALSE)</f>
        <v/>
      </c>
      <c r="I23" s="6">
        <f>IFERROR(AVERAGEIFS('Station Responses'!$K$2:$K$5000,'Station Responses'!$F$2:$F$5000,"C3S5",'Station Responses'!$T$2:$T$5000,FALSE),"")</f>
        <v/>
      </c>
      <c r="J23" s="6">
        <f>IFERROR(COUNTIFS('Station Responses'!$F$2:$F$5000,"C3S5",'Station Responses'!$T$2:$T$5000,FALSE,'Station Responses'!$K$2:$K$5000,0,'Station Responses'!$L$2:$L$5000,1)/COUNTIFS('Station Responses'!$F$2:$F$5000,"C3S5",'Station Responses'!$T$2:$T$5000,FALSE,'Station Responses'!$K$2:$K$5000,0),"")</f>
        <v/>
      </c>
      <c r="K23" s="7">
        <f>IFERROR(AVERAGEIFS('Station Responses'!$K$2:$K$5000,'Station Responses'!$F$2:$F$5000,"C3S5",'Station Responses'!$T$2:$T$5000,FALSE,'Station Responses'!$S$2:$S$5000,"upper")-AVERAGEIFS('Station Responses'!$K$2:$K$5000,'Station Responses'!$F$2:$F$5000,"C3S5",'Station Responses'!$T$2:$T$5000,FALSE,'Station Responses'!$S$2:$S$5000,"lower"),"")</f>
        <v/>
      </c>
      <c r="L23" s="9">
        <f>IFERROR(AVERAGEIFS('Station Responses'!$P$2:$P$5000,'Station Responses'!$F$2:$F$5000,"C3S5",'Station Responses'!$T$2:$T$5000,FALSE,'Station Responses'!$P$2:$P$5000,"&gt;0"),"")</f>
        <v/>
      </c>
      <c r="M23" s="6">
        <f>IFERROR(COUNTIFS('Station Responses'!$F$2:$F$5000,"C3S5",'Station Responses'!$T$2:$T$5000,FALSE,'Station Responses'!$O$2:$O$5000,"&gt;0")/H23,"")</f>
        <v/>
      </c>
      <c r="N23">
        <f>IF(H23&lt;5,"too few answers",IF(I23&lt;0.3,"very hard — review teaching or item",IF(I23&gt;0.9,"very easy",IF(AND(K23&lt;&gt;"",K23&lt;0.2),"low discrimination — review item","OK"))))</f>
        <v/>
      </c>
      <c r="O23" t="inlineStr">
        <is>
          <t>No blind Foley with meatal bleeding: ask the senior/urology team for assessment.</t>
        </is>
      </c>
    </row>
    <row r="24">
      <c r="A24" t="inlineStr">
        <is>
          <t>C3S6</t>
        </is>
      </c>
      <c r="B24" t="inlineStr">
        <is>
          <t>practice</t>
        </is>
      </c>
      <c r="C24" t="inlineStr">
        <is>
          <t>Danger Down Below</t>
        </is>
      </c>
      <c r="D24" t="inlineStr">
        <is>
          <t>Open-fracture source bundle</t>
        </is>
      </c>
      <c r="E24" t="inlineStr">
        <is>
          <t>LO4;LO5</t>
        </is>
      </c>
      <c r="F24" t="inlineStr">
        <is>
          <t>understand</t>
        </is>
      </c>
      <c r="G24" t="b">
        <v>0</v>
      </c>
      <c r="H24">
        <f>COUNTIFS('Station Responses'!$F$2:$F$5000,"C3S6",'Station Responses'!$T$2:$T$5000,FALSE)</f>
        <v/>
      </c>
      <c r="I24" s="6">
        <f>IFERROR(AVERAGEIFS('Station Responses'!$K$2:$K$5000,'Station Responses'!$F$2:$F$5000,"C3S6",'Station Responses'!$T$2:$T$5000,FALSE),"")</f>
        <v/>
      </c>
      <c r="J24" s="6">
        <f>IFERROR(COUNTIFS('Station Responses'!$F$2:$F$5000,"C3S6",'Station Responses'!$T$2:$T$5000,FALSE,'Station Responses'!$K$2:$K$5000,0,'Station Responses'!$L$2:$L$5000,1)/COUNTIFS('Station Responses'!$F$2:$F$5000,"C3S6",'Station Responses'!$T$2:$T$5000,FALSE,'Station Responses'!$K$2:$K$5000,0),"")</f>
        <v/>
      </c>
      <c r="K24" s="7">
        <f>IFERROR(AVERAGEIFS('Station Responses'!$K$2:$K$5000,'Station Responses'!$F$2:$F$5000,"C3S6",'Station Responses'!$T$2:$T$5000,FALSE,'Station Responses'!$S$2:$S$5000,"upper")-AVERAGEIFS('Station Responses'!$K$2:$K$5000,'Station Responses'!$F$2:$F$5000,"C3S6",'Station Responses'!$T$2:$T$5000,FALSE,'Station Responses'!$S$2:$S$5000,"lower"),"")</f>
        <v/>
      </c>
      <c r="L24" s="9">
        <f>IFERROR(AVERAGEIFS('Station Responses'!$P$2:$P$5000,'Station Responses'!$F$2:$F$5000,"C3S6",'Station Responses'!$T$2:$T$5000,FALSE,'Station Responses'!$P$2:$P$5000,"&gt;0"),"")</f>
        <v/>
      </c>
      <c r="M24" s="6">
        <f>IFERROR(COUNTIFS('Station Responses'!$F$2:$F$5000,"C3S6",'Station Responses'!$T$2:$T$5000,FALSE,'Station Responses'!$O$2:$O$5000,"&gt;0")/H24,"")</f>
        <v/>
      </c>
      <c r="N24">
        <f>IF(H24&lt;5,"too few answers",IF(I24&lt;0.3,"very hard — review teaching or item",IF(I24&gt;0.9,"very easy",IF(AND(K24&lt;&gt;"",K24&lt;0.2),"low discrimination — review item","OK"))))</f>
        <v/>
      </c>
      <c r="O24" t="inlineStr">
        <is>
          <t>Open pelvic fracture: IV antibiotics by Gustilo grade within 3 h, tetanus prophylaxis and urgent surgical debridement. Check allergy, weight and kidney function before prescribing.</t>
        </is>
      </c>
    </row>
    <row r="25">
      <c r="A25" t="inlineStr">
        <is>
          <t>C3S7</t>
        </is>
      </c>
      <c r="B25" t="inlineStr">
        <is>
          <t>practice</t>
        </is>
      </c>
      <c r="C25" t="inlineStr">
        <is>
          <t>Danger Down Below</t>
        </is>
      </c>
      <c r="D25" t="inlineStr">
        <is>
          <t>Three-team handover</t>
        </is>
      </c>
      <c r="E25" t="inlineStr">
        <is>
          <t>LO7;LO4;LO5</t>
        </is>
      </c>
      <c r="F25" t="inlineStr">
        <is>
          <t>apply</t>
        </is>
      </c>
      <c r="G25" t="b">
        <v>0</v>
      </c>
      <c r="H25">
        <f>COUNTIFS('Station Responses'!$F$2:$F$5000,"C3S7",'Station Responses'!$T$2:$T$5000,FALSE)</f>
        <v/>
      </c>
      <c r="I25" s="6">
        <f>IFERROR(AVERAGEIFS('Station Responses'!$K$2:$K$5000,'Station Responses'!$F$2:$F$5000,"C3S7",'Station Responses'!$T$2:$T$5000,FALSE),"")</f>
        <v/>
      </c>
      <c r="J25" s="6">
        <f>IFERROR(COUNTIFS('Station Responses'!$F$2:$F$5000,"C3S7",'Station Responses'!$T$2:$T$5000,FALSE,'Station Responses'!$K$2:$K$5000,0,'Station Responses'!$L$2:$L$5000,1)/COUNTIFS('Station Responses'!$F$2:$F$5000,"C3S7",'Station Responses'!$T$2:$T$5000,FALSE,'Station Responses'!$K$2:$K$5000,0),"")</f>
        <v/>
      </c>
      <c r="K25" s="7">
        <f>IFERROR(AVERAGEIFS('Station Responses'!$K$2:$K$5000,'Station Responses'!$F$2:$F$5000,"C3S7",'Station Responses'!$T$2:$T$5000,FALSE,'Station Responses'!$S$2:$S$5000,"upper")-AVERAGEIFS('Station Responses'!$K$2:$K$5000,'Station Responses'!$F$2:$F$5000,"C3S7",'Station Responses'!$T$2:$T$5000,FALSE,'Station Responses'!$S$2:$S$5000,"lower"),"")</f>
        <v/>
      </c>
      <c r="L25" s="9">
        <f>IFERROR(AVERAGEIFS('Station Responses'!$P$2:$P$5000,'Station Responses'!$F$2:$F$5000,"C3S7",'Station Responses'!$T$2:$T$5000,FALSE,'Station Responses'!$P$2:$P$5000,"&gt;0"),"")</f>
        <v/>
      </c>
      <c r="M25" s="6">
        <f>IFERROR(COUNTIFS('Station Responses'!$F$2:$F$5000,"C3S7",'Station Responses'!$T$2:$T$5000,FALSE,'Station Responses'!$O$2:$O$5000,"&gt;0")/H25,"")</f>
        <v/>
      </c>
      <c r="N25">
        <f>IF(H25&lt;5,"too few answers",IF(I25&lt;0.3,"very hard — review teaching or item",IF(I25&gt;0.9,"very easy",IF(AND(K25&lt;&gt;"",K25&lt;0.2),"low discrimination — review item","OK"))))</f>
        <v/>
      </c>
      <c r="O25" t="inlineStr">
        <is>
          <t>General surgery, orthopaedics and urology coordinate; double set-up is senior-led.</t>
        </is>
      </c>
    </row>
    <row r="26">
      <c r="A26" t="inlineStr">
        <is>
          <t>C0B1</t>
        </is>
      </c>
      <c r="B26" t="inlineStr">
        <is>
          <t>boss review</t>
        </is>
      </c>
      <c r="C26" t="inlineStr">
        <is>
          <t>Pelvis Academy</t>
        </is>
      </c>
      <c r="D26" t="inlineStr">
        <is>
          <t>Boss recall: Force detective</t>
        </is>
      </c>
      <c r="E26" t="inlineStr">
        <is>
          <t>LO1</t>
        </is>
      </c>
      <c r="F26" t="inlineStr">
        <is>
          <t>understand</t>
        </is>
      </c>
      <c r="G26" t="b">
        <v>0</v>
      </c>
      <c r="H26">
        <f>COUNTIFS('Station Responses'!$F$2:$F$5000,"C0B1",'Station Responses'!$T$2:$T$5000,FALSE)</f>
        <v/>
      </c>
      <c r="I26" s="6">
        <f>IFERROR(AVERAGEIFS('Station Responses'!$K$2:$K$5000,'Station Responses'!$F$2:$F$5000,"C0B1",'Station Responses'!$T$2:$T$5000,FALSE),"")</f>
        <v/>
      </c>
      <c r="J26" s="6">
        <f>IFERROR(COUNTIFS('Station Responses'!$F$2:$F$5000,"C0B1",'Station Responses'!$T$2:$T$5000,FALSE,'Station Responses'!$K$2:$K$5000,0,'Station Responses'!$L$2:$L$5000,1)/COUNTIFS('Station Responses'!$F$2:$F$5000,"C0B1",'Station Responses'!$T$2:$T$5000,FALSE,'Station Responses'!$K$2:$K$5000,0),"")</f>
        <v/>
      </c>
      <c r="K26" s="7">
        <f>IFERROR(AVERAGEIFS('Station Responses'!$K$2:$K$5000,'Station Responses'!$F$2:$F$5000,"C0B1",'Station Responses'!$T$2:$T$5000,FALSE,'Station Responses'!$S$2:$S$5000,"upper")-AVERAGEIFS('Station Responses'!$K$2:$K$5000,'Station Responses'!$F$2:$F$5000,"C0B1",'Station Responses'!$T$2:$T$5000,FALSE,'Station Responses'!$S$2:$S$5000,"lower"),"")</f>
        <v/>
      </c>
      <c r="L26" s="9">
        <f>IFERROR(AVERAGEIFS('Station Responses'!$P$2:$P$5000,'Station Responses'!$F$2:$F$5000,"C0B1",'Station Responses'!$T$2:$T$5000,FALSE,'Station Responses'!$P$2:$P$5000,"&gt;0"),"")</f>
        <v/>
      </c>
      <c r="M26" s="6">
        <f>IFERROR(COUNTIFS('Station Responses'!$F$2:$F$5000,"C0B1",'Station Responses'!$T$2:$T$5000,FALSE,'Station Responses'!$O$2:$O$5000,"&gt;0")/H26,"")</f>
        <v/>
      </c>
      <c r="N26">
        <f>IF(H26&lt;5,"too few answers",IF(I26&lt;0.3,"very hard — review teaching or item",IF(I26&gt;0.9,"very easy",IF(AND(K26&lt;&gt;"",K26&lt;0.2),"low discrimination — review item","OK"))))</f>
        <v/>
      </c>
      <c r="O26" t="inlineStr">
        <is>
          <t>Mechanism suggests a pattern, not a definitive diagnosis.</t>
        </is>
      </c>
    </row>
    <row r="27">
      <c r="A27" t="inlineStr">
        <is>
          <t>C0B2</t>
        </is>
      </c>
      <c r="B27" t="inlineStr">
        <is>
          <t>boss review</t>
        </is>
      </c>
      <c r="C27" t="inlineStr">
        <is>
          <t>Pelvis Academy</t>
        </is>
      </c>
      <c r="D27" t="inlineStr">
        <is>
          <t>Boss recall: Ligaments and their jobs</t>
        </is>
      </c>
      <c r="E27" t="inlineStr">
        <is>
          <t>LO1</t>
        </is>
      </c>
      <c r="F27" t="inlineStr">
        <is>
          <t>understand</t>
        </is>
      </c>
      <c r="G27" t="b">
        <v>0</v>
      </c>
      <c r="H27">
        <f>COUNTIFS('Station Responses'!$F$2:$F$5000,"C0B2",'Station Responses'!$T$2:$T$5000,FALSE)</f>
        <v/>
      </c>
      <c r="I27" s="6">
        <f>IFERROR(AVERAGEIFS('Station Responses'!$K$2:$K$5000,'Station Responses'!$F$2:$F$5000,"C0B2",'Station Responses'!$T$2:$T$5000,FALSE),"")</f>
        <v/>
      </c>
      <c r="J27" s="6">
        <f>IFERROR(COUNTIFS('Station Responses'!$F$2:$F$5000,"C0B2",'Station Responses'!$T$2:$T$5000,FALSE,'Station Responses'!$K$2:$K$5000,0,'Station Responses'!$L$2:$L$5000,1)/COUNTIFS('Station Responses'!$F$2:$F$5000,"C0B2",'Station Responses'!$T$2:$T$5000,FALSE,'Station Responses'!$K$2:$K$5000,0),"")</f>
        <v/>
      </c>
      <c r="K27" s="7">
        <f>IFERROR(AVERAGEIFS('Station Responses'!$K$2:$K$5000,'Station Responses'!$F$2:$F$5000,"C0B2",'Station Responses'!$T$2:$T$5000,FALSE,'Station Responses'!$S$2:$S$5000,"upper")-AVERAGEIFS('Station Responses'!$K$2:$K$5000,'Station Responses'!$F$2:$F$5000,"C0B2",'Station Responses'!$T$2:$T$5000,FALSE,'Station Responses'!$S$2:$S$5000,"lower"),"")</f>
        <v/>
      </c>
      <c r="L27" s="9">
        <f>IFERROR(AVERAGEIFS('Station Responses'!$P$2:$P$5000,'Station Responses'!$F$2:$F$5000,"C0B2",'Station Responses'!$T$2:$T$5000,FALSE,'Station Responses'!$P$2:$P$5000,"&gt;0"),"")</f>
        <v/>
      </c>
      <c r="M27" s="6">
        <f>IFERROR(COUNTIFS('Station Responses'!$F$2:$F$5000,"C0B2",'Station Responses'!$T$2:$T$5000,FALSE,'Station Responses'!$O$2:$O$5000,"&gt;0")/H27,"")</f>
        <v/>
      </c>
      <c r="N27">
        <f>IF(H27&lt;5,"too few answers",IF(I27&lt;0.3,"very hard — review teaching or item",IF(I27&gt;0.9,"very easy",IF(AND(K27&lt;&gt;"",K27&lt;0.2),"low discrimination — review item","OK"))))</f>
        <v/>
      </c>
      <c r="O27" t="inlineStr">
        <is>
          <t>Ligament disruption explains instability clues.</t>
        </is>
      </c>
    </row>
    <row r="28">
      <c r="A28" t="inlineStr">
        <is>
          <t>C0B3</t>
        </is>
      </c>
      <c r="B28" t="inlineStr">
        <is>
          <t>boss review</t>
        </is>
      </c>
      <c r="C28" t="inlineStr">
        <is>
          <t>Pelvis Academy</t>
        </is>
      </c>
      <c r="D28" t="inlineStr">
        <is>
          <t>Boss recall: Associated-injury collection</t>
        </is>
      </c>
      <c r="E28" t="inlineStr">
        <is>
          <t>LO1</t>
        </is>
      </c>
      <c r="F28" t="inlineStr">
        <is>
          <t>understand</t>
        </is>
      </c>
      <c r="G28" t="b">
        <v>0</v>
      </c>
      <c r="H28">
        <f>COUNTIFS('Station Responses'!$F$2:$F$5000,"C0B3",'Station Responses'!$T$2:$T$5000,FALSE)</f>
        <v/>
      </c>
      <c r="I28" s="6">
        <f>IFERROR(AVERAGEIFS('Station Responses'!$K$2:$K$5000,'Station Responses'!$F$2:$F$5000,"C0B3",'Station Responses'!$T$2:$T$5000,FALSE),"")</f>
        <v/>
      </c>
      <c r="J28" s="6">
        <f>IFERROR(COUNTIFS('Station Responses'!$F$2:$F$5000,"C0B3",'Station Responses'!$T$2:$T$5000,FALSE,'Station Responses'!$K$2:$K$5000,0,'Station Responses'!$L$2:$L$5000,1)/COUNTIFS('Station Responses'!$F$2:$F$5000,"C0B3",'Station Responses'!$T$2:$T$5000,FALSE,'Station Responses'!$K$2:$K$5000,0),"")</f>
        <v/>
      </c>
      <c r="K28" s="7">
        <f>IFERROR(AVERAGEIFS('Station Responses'!$K$2:$K$5000,'Station Responses'!$F$2:$F$5000,"C0B3",'Station Responses'!$T$2:$T$5000,FALSE,'Station Responses'!$S$2:$S$5000,"upper")-AVERAGEIFS('Station Responses'!$K$2:$K$5000,'Station Responses'!$F$2:$F$5000,"C0B3",'Station Responses'!$T$2:$T$5000,FALSE,'Station Responses'!$S$2:$S$5000,"lower"),"")</f>
        <v/>
      </c>
      <c r="L28" s="9">
        <f>IFERROR(AVERAGEIFS('Station Responses'!$P$2:$P$5000,'Station Responses'!$F$2:$F$5000,"C0B3",'Station Responses'!$T$2:$T$5000,FALSE,'Station Responses'!$P$2:$P$5000,"&gt;0"),"")</f>
        <v/>
      </c>
      <c r="M28" s="6">
        <f>IFERROR(COUNTIFS('Station Responses'!$F$2:$F$5000,"C0B3",'Station Responses'!$T$2:$T$5000,FALSE,'Station Responses'!$O$2:$O$5000,"&gt;0")/H28,"")</f>
        <v/>
      </c>
      <c r="N28">
        <f>IF(H28&lt;5,"too few answers",IF(I28&lt;0.3,"very hard — review teaching or item",IF(I28&gt;0.9,"very easy",IF(AND(K28&lt;&gt;"",K28&lt;0.2),"low discrimination — review item","OK"))))</f>
        <v/>
      </c>
      <c r="O28" t="inlineStr">
        <is>
          <t>Look beyond the pelvis; these percentages describe the supplied source cohort.</t>
        </is>
      </c>
    </row>
    <row r="29">
      <c r="A29" t="inlineStr">
        <is>
          <t>C1B1</t>
        </is>
      </c>
      <c r="B29" t="inlineStr">
        <is>
          <t>boss review</t>
        </is>
      </c>
      <c r="C29" t="inlineStr">
        <is>
          <t>Red Alert</t>
        </is>
      </c>
      <c r="D29" t="inlineStr">
        <is>
          <t>Boss recall: Shock bucket</t>
        </is>
      </c>
      <c r="E29" t="inlineStr">
        <is>
          <t>LO5</t>
        </is>
      </c>
      <c r="F29" t="inlineStr">
        <is>
          <t>understand</t>
        </is>
      </c>
      <c r="G29" t="b">
        <v>0</v>
      </c>
      <c r="H29">
        <f>COUNTIFS('Station Responses'!$F$2:$F$5000,"C1B1",'Station Responses'!$T$2:$T$5000,FALSE)</f>
        <v/>
      </c>
      <c r="I29" s="6">
        <f>IFERROR(AVERAGEIFS('Station Responses'!$K$2:$K$5000,'Station Responses'!$F$2:$F$5000,"C1B1",'Station Responses'!$T$2:$T$5000,FALSE),"")</f>
        <v/>
      </c>
      <c r="J29" s="6">
        <f>IFERROR(COUNTIFS('Station Responses'!$F$2:$F$5000,"C1B1",'Station Responses'!$T$2:$T$5000,FALSE,'Station Responses'!$K$2:$K$5000,0,'Station Responses'!$L$2:$L$5000,1)/COUNTIFS('Station Responses'!$F$2:$F$5000,"C1B1",'Station Responses'!$T$2:$T$5000,FALSE,'Station Responses'!$K$2:$K$5000,0),"")</f>
        <v/>
      </c>
      <c r="K29" s="7">
        <f>IFERROR(AVERAGEIFS('Station Responses'!$K$2:$K$5000,'Station Responses'!$F$2:$F$5000,"C1B1",'Station Responses'!$T$2:$T$5000,FALSE,'Station Responses'!$S$2:$S$5000,"upper")-AVERAGEIFS('Station Responses'!$K$2:$K$5000,'Station Responses'!$F$2:$F$5000,"C1B1",'Station Responses'!$T$2:$T$5000,FALSE,'Station Responses'!$S$2:$S$5000,"lower"),"")</f>
        <v/>
      </c>
      <c r="L29" s="9">
        <f>IFERROR(AVERAGEIFS('Station Responses'!$P$2:$P$5000,'Station Responses'!$F$2:$F$5000,"C1B1",'Station Responses'!$T$2:$T$5000,FALSE,'Station Responses'!$P$2:$P$5000,"&gt;0"),"")</f>
        <v/>
      </c>
      <c r="M29" s="6">
        <f>IFERROR(COUNTIFS('Station Responses'!$F$2:$F$5000,"C1B1",'Station Responses'!$T$2:$T$5000,FALSE,'Station Responses'!$O$2:$O$5000,"&gt;0")/H29,"")</f>
        <v/>
      </c>
      <c r="N29">
        <f>IF(H29&lt;5,"too few answers",IF(I29&lt;0.3,"very hard — review teaching or item",IF(I29&gt;0.9,"very easy",IF(AND(K29&lt;&gt;"",K29&lt;0.2),"low discrimination — review item","OK"))))</f>
        <v/>
      </c>
      <c r="O29" t="inlineStr">
        <is>
          <t>Class III is a teaching estimate; trends and response matter more than a bucket.</t>
        </is>
      </c>
    </row>
    <row r="30">
      <c r="A30" t="inlineStr">
        <is>
          <t>C1B2</t>
        </is>
      </c>
      <c r="B30" t="inlineStr">
        <is>
          <t>boss review</t>
        </is>
      </c>
      <c r="C30" t="inlineStr">
        <is>
          <t>Red Alert</t>
        </is>
      </c>
      <c r="D30" t="inlineStr">
        <is>
          <t>Boss recall: Binder workshop on screen</t>
        </is>
      </c>
      <c r="E30" t="inlineStr">
        <is>
          <t>LO6</t>
        </is>
      </c>
      <c r="F30" t="inlineStr">
        <is>
          <t>apply</t>
        </is>
      </c>
      <c r="G30" t="b">
        <v>0</v>
      </c>
      <c r="H30">
        <f>COUNTIFS('Station Responses'!$F$2:$F$5000,"C1B2",'Station Responses'!$T$2:$T$5000,FALSE)</f>
        <v/>
      </c>
      <c r="I30" s="6">
        <f>IFERROR(AVERAGEIFS('Station Responses'!$K$2:$K$5000,'Station Responses'!$F$2:$F$5000,"C1B2",'Station Responses'!$T$2:$T$5000,FALSE),"")</f>
        <v/>
      </c>
      <c r="J30" s="6">
        <f>IFERROR(COUNTIFS('Station Responses'!$F$2:$F$5000,"C1B2",'Station Responses'!$T$2:$T$5000,FALSE,'Station Responses'!$K$2:$K$5000,0,'Station Responses'!$L$2:$L$5000,1)/COUNTIFS('Station Responses'!$F$2:$F$5000,"C1B2",'Station Responses'!$T$2:$T$5000,FALSE,'Station Responses'!$K$2:$K$5000,0),"")</f>
        <v/>
      </c>
      <c r="K30" s="7">
        <f>IFERROR(AVERAGEIFS('Station Responses'!$K$2:$K$5000,'Station Responses'!$F$2:$F$5000,"C1B2",'Station Responses'!$T$2:$T$5000,FALSE,'Station Responses'!$S$2:$S$5000,"upper")-AVERAGEIFS('Station Responses'!$K$2:$K$5000,'Station Responses'!$F$2:$F$5000,"C1B2",'Station Responses'!$T$2:$T$5000,FALSE,'Station Responses'!$S$2:$S$5000,"lower"),"")</f>
        <v/>
      </c>
      <c r="L30" s="9">
        <f>IFERROR(AVERAGEIFS('Station Responses'!$P$2:$P$5000,'Station Responses'!$F$2:$F$5000,"C1B2",'Station Responses'!$T$2:$T$5000,FALSE,'Station Responses'!$P$2:$P$5000,"&gt;0"),"")</f>
        <v/>
      </c>
      <c r="M30" s="6">
        <f>IFERROR(COUNTIFS('Station Responses'!$F$2:$F$5000,"C1B2",'Station Responses'!$T$2:$T$5000,FALSE,'Station Responses'!$O$2:$O$5000,"&gt;0")/H30,"")</f>
        <v/>
      </c>
      <c r="N30">
        <f>IF(H30&lt;5,"too few answers",IF(I30&lt;0.3,"very hard — review teaching or item",IF(I30&gt;0.9,"very easy",IF(AND(K30&lt;&gt;"",K30&lt;0.2),"low discrimination — review item","OK"))))</f>
        <v/>
      </c>
      <c r="O30" t="inlineStr">
        <is>
          <t>Binder for every suspected pelvic fracture: centred on the greater trochanters, snug (not loose, not over-tight), legs internally rotated with padding; remove within 24 h.</t>
        </is>
      </c>
    </row>
    <row r="31">
      <c r="A31" t="inlineStr">
        <is>
          <t>C1B3</t>
        </is>
      </c>
      <c r="B31" t="inlineStr">
        <is>
          <t>boss review</t>
        </is>
      </c>
      <c r="C31" t="inlineStr">
        <is>
          <t>Red Alert</t>
        </is>
      </c>
      <c r="D31" t="inlineStr">
        <is>
          <t>Boss recall: Where is the blood?</t>
        </is>
      </c>
      <c r="E31" t="inlineStr">
        <is>
          <t>LO5</t>
        </is>
      </c>
      <c r="F31" t="inlineStr">
        <is>
          <t>apply</t>
        </is>
      </c>
      <c r="G31" t="b">
        <v>0</v>
      </c>
      <c r="H31">
        <f>COUNTIFS('Station Responses'!$F$2:$F$5000,"C1B3",'Station Responses'!$T$2:$T$5000,FALSE)</f>
        <v/>
      </c>
      <c r="I31" s="6">
        <f>IFERROR(AVERAGEIFS('Station Responses'!$K$2:$K$5000,'Station Responses'!$F$2:$F$5000,"C1B3",'Station Responses'!$T$2:$T$5000,FALSE),"")</f>
        <v/>
      </c>
      <c r="J31" s="6">
        <f>IFERROR(COUNTIFS('Station Responses'!$F$2:$F$5000,"C1B3",'Station Responses'!$T$2:$T$5000,FALSE,'Station Responses'!$K$2:$K$5000,0,'Station Responses'!$L$2:$L$5000,1)/COUNTIFS('Station Responses'!$F$2:$F$5000,"C1B3",'Station Responses'!$T$2:$T$5000,FALSE,'Station Responses'!$K$2:$K$5000,0),"")</f>
        <v/>
      </c>
      <c r="K31" s="7">
        <f>IFERROR(AVERAGEIFS('Station Responses'!$K$2:$K$5000,'Station Responses'!$F$2:$F$5000,"C1B3",'Station Responses'!$T$2:$T$5000,FALSE,'Station Responses'!$S$2:$S$5000,"upper")-AVERAGEIFS('Station Responses'!$K$2:$K$5000,'Station Responses'!$F$2:$F$5000,"C1B3",'Station Responses'!$T$2:$T$5000,FALSE,'Station Responses'!$S$2:$S$5000,"lower"),"")</f>
        <v/>
      </c>
      <c r="L31" s="9">
        <f>IFERROR(AVERAGEIFS('Station Responses'!$P$2:$P$5000,'Station Responses'!$F$2:$F$5000,"C1B3",'Station Responses'!$T$2:$T$5000,FALSE,'Station Responses'!$P$2:$P$5000,"&gt;0"),"")</f>
        <v/>
      </c>
      <c r="M31" s="6">
        <f>IFERROR(COUNTIFS('Station Responses'!$F$2:$F$5000,"C1B3",'Station Responses'!$T$2:$T$5000,FALSE,'Station Responses'!$O$2:$O$5000,"&gt;0")/H31,"")</f>
        <v/>
      </c>
      <c r="N31">
        <f>IF(H31&lt;5,"too few answers",IF(I31&lt;0.3,"very hard — review teaching or item",IF(I31&gt;0.9,"very easy",IF(AND(K31&lt;&gt;"",K31&lt;0.2),"low discrimination — review item","OK"))))</f>
        <v/>
      </c>
      <c r="O31" t="inlineStr">
        <is>
          <t>Bleeding is 80% venous/bone and 20% arterial (superior gluteal most often). Angio-embolization finds an arterial source in only 10–15% and does not stop venous bleeding. 50–69% of unstable fractures need ≥4 U LPRC. Lactate ≥4: keep resuscitating; lactate &lt;4: definitive fixation.</t>
        </is>
      </c>
    </row>
    <row r="32">
      <c r="A32" t="inlineStr">
        <is>
          <t>C2B1</t>
        </is>
      </c>
      <c r="B32" t="inlineStr">
        <is>
          <t>boss review</t>
        </is>
      </c>
      <c r="C32" t="inlineStr">
        <is>
          <t>The Hidden Fracture</t>
        </is>
      </c>
      <c r="D32" t="inlineStr">
        <is>
          <t>Boss recall: Stability clue sort</t>
        </is>
      </c>
      <c r="E32" t="inlineStr">
        <is>
          <t>LO3</t>
        </is>
      </c>
      <c r="F32" t="inlineStr">
        <is>
          <t>understand</t>
        </is>
      </c>
      <c r="G32" t="b">
        <v>0</v>
      </c>
      <c r="H32">
        <f>COUNTIFS('Station Responses'!$F$2:$F$5000,"C2B1",'Station Responses'!$T$2:$T$5000,FALSE)</f>
        <v/>
      </c>
      <c r="I32" s="6">
        <f>IFERROR(AVERAGEIFS('Station Responses'!$K$2:$K$5000,'Station Responses'!$F$2:$F$5000,"C2B1",'Station Responses'!$T$2:$T$5000,FALSE),"")</f>
        <v/>
      </c>
      <c r="J32" s="6">
        <f>IFERROR(COUNTIFS('Station Responses'!$F$2:$F$5000,"C2B1",'Station Responses'!$T$2:$T$5000,FALSE,'Station Responses'!$K$2:$K$5000,0,'Station Responses'!$L$2:$L$5000,1)/COUNTIFS('Station Responses'!$F$2:$F$5000,"C2B1",'Station Responses'!$T$2:$T$5000,FALSE,'Station Responses'!$K$2:$K$5000,0),"")</f>
        <v/>
      </c>
      <c r="K32" s="7">
        <f>IFERROR(AVERAGEIFS('Station Responses'!$K$2:$K$5000,'Station Responses'!$F$2:$F$5000,"C2B1",'Station Responses'!$T$2:$T$5000,FALSE,'Station Responses'!$S$2:$S$5000,"upper")-AVERAGEIFS('Station Responses'!$K$2:$K$5000,'Station Responses'!$F$2:$F$5000,"C2B1",'Station Responses'!$T$2:$T$5000,FALSE,'Station Responses'!$S$2:$S$5000,"lower"),"")</f>
        <v/>
      </c>
      <c r="L32" s="9">
        <f>IFERROR(AVERAGEIFS('Station Responses'!$P$2:$P$5000,'Station Responses'!$F$2:$F$5000,"C2B1",'Station Responses'!$T$2:$T$5000,FALSE,'Station Responses'!$P$2:$P$5000,"&gt;0"),"")</f>
        <v/>
      </c>
      <c r="M32" s="6">
        <f>IFERROR(COUNTIFS('Station Responses'!$F$2:$F$5000,"C2B1",'Station Responses'!$T$2:$T$5000,FALSE,'Station Responses'!$O$2:$O$5000,"&gt;0")/H32,"")</f>
        <v/>
      </c>
      <c r="N32">
        <f>IF(H32&lt;5,"too few answers",IF(I32&lt;0.3,"very hard — review teaching or item",IF(I32&gt;0.9,"very easy",IF(AND(K32&lt;&gt;"",K32&lt;0.2),"low discrimination — review item","OK"))))</f>
        <v/>
      </c>
      <c r="O32" t="inlineStr">
        <is>
          <t>Normal physiology is not proof of mechanical stability.</t>
        </is>
      </c>
    </row>
    <row r="33">
      <c r="A33" t="inlineStr">
        <is>
          <t>C2B2</t>
        </is>
      </c>
      <c r="B33" t="inlineStr">
        <is>
          <t>boss review</t>
        </is>
      </c>
      <c r="C33" t="inlineStr">
        <is>
          <t>The Hidden Fracture</t>
        </is>
      </c>
      <c r="D33" t="inlineStr">
        <is>
          <t>Boss recall: Beam and view pairs</t>
        </is>
      </c>
      <c r="E33" t="inlineStr">
        <is>
          <t>LO3</t>
        </is>
      </c>
      <c r="F33" t="inlineStr">
        <is>
          <t>understand</t>
        </is>
      </c>
      <c r="G33" t="b">
        <v>0</v>
      </c>
      <c r="H33">
        <f>COUNTIFS('Station Responses'!$F$2:$F$5000,"C2B2",'Station Responses'!$T$2:$T$5000,FALSE)</f>
        <v/>
      </c>
      <c r="I33" s="6">
        <f>IFERROR(AVERAGEIFS('Station Responses'!$K$2:$K$5000,'Station Responses'!$F$2:$F$5000,"C2B2",'Station Responses'!$T$2:$T$5000,FALSE),"")</f>
        <v/>
      </c>
      <c r="J33" s="6">
        <f>IFERROR(COUNTIFS('Station Responses'!$F$2:$F$5000,"C2B2",'Station Responses'!$T$2:$T$5000,FALSE,'Station Responses'!$K$2:$K$5000,0,'Station Responses'!$L$2:$L$5000,1)/COUNTIFS('Station Responses'!$F$2:$F$5000,"C2B2",'Station Responses'!$T$2:$T$5000,FALSE,'Station Responses'!$K$2:$K$5000,0),"")</f>
        <v/>
      </c>
      <c r="K33" s="7">
        <f>IFERROR(AVERAGEIFS('Station Responses'!$K$2:$K$5000,'Station Responses'!$F$2:$F$5000,"C2B2",'Station Responses'!$T$2:$T$5000,FALSE,'Station Responses'!$S$2:$S$5000,"upper")-AVERAGEIFS('Station Responses'!$K$2:$K$5000,'Station Responses'!$F$2:$F$5000,"C2B2",'Station Responses'!$T$2:$T$5000,FALSE,'Station Responses'!$S$2:$S$5000,"lower"),"")</f>
        <v/>
      </c>
      <c r="L33" s="9">
        <f>IFERROR(AVERAGEIFS('Station Responses'!$P$2:$P$5000,'Station Responses'!$F$2:$F$5000,"C2B2",'Station Responses'!$T$2:$T$5000,FALSE,'Station Responses'!$P$2:$P$5000,"&gt;0"),"")</f>
        <v/>
      </c>
      <c r="M33" s="6">
        <f>IFERROR(COUNTIFS('Station Responses'!$F$2:$F$5000,"C2B2",'Station Responses'!$T$2:$T$5000,FALSE,'Station Responses'!$O$2:$O$5000,"&gt;0")/H33,"")</f>
        <v/>
      </c>
      <c r="N33">
        <f>IF(H33&lt;5,"too few answers",IF(I33&lt;0.3,"very hard — review teaching or item",IF(I33&gt;0.9,"very easy",IF(AND(K33&lt;&gt;"",K33&lt;0.2),"low discrimination — review item","OK"))))</f>
        <v/>
      </c>
      <c r="O33" t="inlineStr">
        <is>
          <t>Inlet assesses AP displacement; outlet assesses vertical displacement.</t>
        </is>
      </c>
    </row>
    <row r="34">
      <c r="A34" t="inlineStr">
        <is>
          <t>C2B3</t>
        </is>
      </c>
      <c r="B34" t="inlineStr">
        <is>
          <t>boss review</t>
        </is>
      </c>
      <c r="C34" t="inlineStr">
        <is>
          <t>The Hidden Fracture</t>
        </is>
      </c>
      <c r="D34" t="inlineStr">
        <is>
          <t>Boss recall: Pattern and urgency</t>
        </is>
      </c>
      <c r="E34" t="inlineStr">
        <is>
          <t>LO1;LO3;LO7</t>
        </is>
      </c>
      <c r="F34" t="inlineStr">
        <is>
          <t>apply</t>
        </is>
      </c>
      <c r="G34" t="b">
        <v>0</v>
      </c>
      <c r="H34">
        <f>COUNTIFS('Station Responses'!$F$2:$F$5000,"C2B3",'Station Responses'!$T$2:$T$5000,FALSE)</f>
        <v/>
      </c>
      <c r="I34" s="6">
        <f>IFERROR(AVERAGEIFS('Station Responses'!$K$2:$K$5000,'Station Responses'!$F$2:$F$5000,"C2B3",'Station Responses'!$T$2:$T$5000,FALSE),"")</f>
        <v/>
      </c>
      <c r="J34" s="6">
        <f>IFERROR(COUNTIFS('Station Responses'!$F$2:$F$5000,"C2B3",'Station Responses'!$T$2:$T$5000,FALSE,'Station Responses'!$K$2:$K$5000,0,'Station Responses'!$L$2:$L$5000,1)/COUNTIFS('Station Responses'!$F$2:$F$5000,"C2B3",'Station Responses'!$T$2:$T$5000,FALSE,'Station Responses'!$K$2:$K$5000,0),"")</f>
        <v/>
      </c>
      <c r="K34" s="7">
        <f>IFERROR(AVERAGEIFS('Station Responses'!$K$2:$K$5000,'Station Responses'!$F$2:$F$5000,"C2B3",'Station Responses'!$T$2:$T$5000,FALSE,'Station Responses'!$S$2:$S$5000,"upper")-AVERAGEIFS('Station Responses'!$K$2:$K$5000,'Station Responses'!$F$2:$F$5000,"C2B3",'Station Responses'!$T$2:$T$5000,FALSE,'Station Responses'!$S$2:$S$5000,"lower"),"")</f>
        <v/>
      </c>
      <c r="L34" s="9">
        <f>IFERROR(AVERAGEIFS('Station Responses'!$P$2:$P$5000,'Station Responses'!$F$2:$F$5000,"C2B3",'Station Responses'!$T$2:$T$5000,FALSE,'Station Responses'!$P$2:$P$5000,"&gt;0"),"")</f>
        <v/>
      </c>
      <c r="M34" s="6">
        <f>IFERROR(COUNTIFS('Station Responses'!$F$2:$F$5000,"C2B3",'Station Responses'!$T$2:$T$5000,FALSE,'Station Responses'!$O$2:$O$5000,"&gt;0")/H34,"")</f>
        <v/>
      </c>
      <c r="N34">
        <f>IF(H34&lt;5,"too few answers",IF(I34&lt;0.3,"very hard — review teaching or item",IF(I34&gt;0.9,"very easy",IF(AND(K34&lt;&gt;"",K34&lt;0.2),"low discrimination — review item","OK"))))</f>
        <v/>
      </c>
      <c r="O34" t="inlineStr">
        <is>
          <t>Source-reported hip dislocation is an orthopaedic urgency; escalate, do not reduce independently.</t>
        </is>
      </c>
    </row>
    <row r="35">
      <c r="A35" t="inlineStr">
        <is>
          <t>C3B1</t>
        </is>
      </c>
      <c r="B35" t="inlineStr">
        <is>
          <t>boss review</t>
        </is>
      </c>
      <c r="C35" t="inlineStr">
        <is>
          <t>Danger Down Below</t>
        </is>
      </c>
      <c r="D35" t="inlineStr">
        <is>
          <t>Boss recall: Open, closed or degloving?</t>
        </is>
      </c>
      <c r="E35" t="inlineStr">
        <is>
          <t>LO4</t>
        </is>
      </c>
      <c r="F35" t="inlineStr">
        <is>
          <t>understand</t>
        </is>
      </c>
      <c r="G35" t="b">
        <v>0</v>
      </c>
      <c r="H35">
        <f>COUNTIFS('Station Responses'!$F$2:$F$5000,"C3B1",'Station Responses'!$T$2:$T$5000,FALSE)</f>
        <v/>
      </c>
      <c r="I35" s="6">
        <f>IFERROR(AVERAGEIFS('Station Responses'!$K$2:$K$5000,'Station Responses'!$F$2:$F$5000,"C3B1",'Station Responses'!$T$2:$T$5000,FALSE),"")</f>
        <v/>
      </c>
      <c r="J35" s="6">
        <f>IFERROR(COUNTIFS('Station Responses'!$F$2:$F$5000,"C3B1",'Station Responses'!$T$2:$T$5000,FALSE,'Station Responses'!$K$2:$K$5000,0,'Station Responses'!$L$2:$L$5000,1)/COUNTIFS('Station Responses'!$F$2:$F$5000,"C3B1",'Station Responses'!$T$2:$T$5000,FALSE,'Station Responses'!$K$2:$K$5000,0),"")</f>
        <v/>
      </c>
      <c r="K35" s="7">
        <f>IFERROR(AVERAGEIFS('Station Responses'!$K$2:$K$5000,'Station Responses'!$F$2:$F$5000,"C3B1",'Station Responses'!$T$2:$T$5000,FALSE,'Station Responses'!$S$2:$S$5000,"upper")-AVERAGEIFS('Station Responses'!$K$2:$K$5000,'Station Responses'!$F$2:$F$5000,"C3B1",'Station Responses'!$T$2:$T$5000,FALSE,'Station Responses'!$S$2:$S$5000,"lower"),"")</f>
        <v/>
      </c>
      <c r="L35" s="9">
        <f>IFERROR(AVERAGEIFS('Station Responses'!$P$2:$P$5000,'Station Responses'!$F$2:$F$5000,"C3B1",'Station Responses'!$T$2:$T$5000,FALSE,'Station Responses'!$P$2:$P$5000,"&gt;0"),"")</f>
        <v/>
      </c>
      <c r="M35" s="6">
        <f>IFERROR(COUNTIFS('Station Responses'!$F$2:$F$5000,"C3B1",'Station Responses'!$T$2:$T$5000,FALSE,'Station Responses'!$O$2:$O$5000,"&gt;0")/H35,"")</f>
        <v/>
      </c>
      <c r="N35">
        <f>IF(H35&lt;5,"too few answers",IF(I35&lt;0.3,"very hard — review teaching or item",IF(I35&gt;0.9,"very easy",IF(AND(K35&lt;&gt;"",K35&lt;0.2),"low discrimination — review item","OK"))))</f>
        <v/>
      </c>
      <c r="O35" t="inlineStr">
        <is>
          <t>Open = a wound that communicates with the fracture: external (perineal wound, fat globules or bone in the wound) or internal (blood PR/PV). Mortality of open pelvic fracture is 30–50%.</t>
        </is>
      </c>
    </row>
    <row r="36">
      <c r="A36" t="inlineStr">
        <is>
          <t>C3B2</t>
        </is>
      </c>
      <c r="B36" t="inlineStr">
        <is>
          <t>boss review</t>
        </is>
      </c>
      <c r="C36" t="inlineStr">
        <is>
          <t>Danger Down Below</t>
        </is>
      </c>
      <c r="D36" t="inlineStr">
        <is>
          <t>Boss recall: GU danger cards</t>
        </is>
      </c>
      <c r="E36" t="inlineStr">
        <is>
          <t>LO2;LO5</t>
        </is>
      </c>
      <c r="F36" t="inlineStr">
        <is>
          <t>apply</t>
        </is>
      </c>
      <c r="G36" t="b">
        <v>0</v>
      </c>
      <c r="H36">
        <f>COUNTIFS('Station Responses'!$F$2:$F$5000,"C3B2",'Station Responses'!$T$2:$T$5000,FALSE)</f>
        <v/>
      </c>
      <c r="I36" s="6">
        <f>IFERROR(AVERAGEIFS('Station Responses'!$K$2:$K$5000,'Station Responses'!$F$2:$F$5000,"C3B2",'Station Responses'!$T$2:$T$5000,FALSE),"")</f>
        <v/>
      </c>
      <c r="J36" s="6">
        <f>IFERROR(COUNTIFS('Station Responses'!$F$2:$F$5000,"C3B2",'Station Responses'!$T$2:$T$5000,FALSE,'Station Responses'!$K$2:$K$5000,0,'Station Responses'!$L$2:$L$5000,1)/COUNTIFS('Station Responses'!$F$2:$F$5000,"C3B2",'Station Responses'!$T$2:$T$5000,FALSE,'Station Responses'!$K$2:$K$5000,0),"")</f>
        <v/>
      </c>
      <c r="K36" s="7">
        <f>IFERROR(AVERAGEIFS('Station Responses'!$K$2:$K$5000,'Station Responses'!$F$2:$F$5000,"C3B2",'Station Responses'!$T$2:$T$5000,FALSE,'Station Responses'!$S$2:$S$5000,"upper")-AVERAGEIFS('Station Responses'!$K$2:$K$5000,'Station Responses'!$F$2:$F$5000,"C3B2",'Station Responses'!$T$2:$T$5000,FALSE,'Station Responses'!$S$2:$S$5000,"lower"),"")</f>
        <v/>
      </c>
      <c r="L36" s="9">
        <f>IFERROR(AVERAGEIFS('Station Responses'!$P$2:$P$5000,'Station Responses'!$F$2:$F$5000,"C3B2",'Station Responses'!$T$2:$T$5000,FALSE,'Station Responses'!$P$2:$P$5000,"&gt;0"),"")</f>
        <v/>
      </c>
      <c r="M36" s="6">
        <f>IFERROR(COUNTIFS('Station Responses'!$F$2:$F$5000,"C3B2",'Station Responses'!$T$2:$T$5000,FALSE,'Station Responses'!$O$2:$O$5000,"&gt;0")/H36,"")</f>
        <v/>
      </c>
      <c r="N36">
        <f>IF(H36&lt;5,"too few answers",IF(I36&lt;0.3,"very hard — review teaching or item",IF(I36&gt;0.9,"very easy",IF(AND(K36&lt;&gt;"",K36&lt;0.2),"low discrimination — review item","OK"))))</f>
        <v/>
      </c>
      <c r="O36" t="inlineStr">
        <is>
          <t>No blind Foley with meatal bleeding: ask the senior/urology team for assessment.</t>
        </is>
      </c>
    </row>
    <row r="37">
      <c r="A37" t="inlineStr">
        <is>
          <t>C3B3</t>
        </is>
      </c>
      <c r="B37" t="inlineStr">
        <is>
          <t>boss review</t>
        </is>
      </c>
      <c r="C37" t="inlineStr">
        <is>
          <t>Danger Down Below</t>
        </is>
      </c>
      <c r="D37" t="inlineStr">
        <is>
          <t>Boss recall: AMPLE collection</t>
        </is>
      </c>
      <c r="E37" t="inlineStr">
        <is>
          <t>LO2</t>
        </is>
      </c>
      <c r="F37" t="inlineStr">
        <is>
          <t>apply</t>
        </is>
      </c>
      <c r="G37" t="b">
        <v>0</v>
      </c>
      <c r="H37">
        <f>COUNTIFS('Station Responses'!$F$2:$F$5000,"C3B3",'Station Responses'!$T$2:$T$5000,FALSE)</f>
        <v/>
      </c>
      <c r="I37" s="6">
        <f>IFERROR(AVERAGEIFS('Station Responses'!$K$2:$K$5000,'Station Responses'!$F$2:$F$5000,"C3B3",'Station Responses'!$T$2:$T$5000,FALSE),"")</f>
        <v/>
      </c>
      <c r="J37" s="6">
        <f>IFERROR(COUNTIFS('Station Responses'!$F$2:$F$5000,"C3B3",'Station Responses'!$T$2:$T$5000,FALSE,'Station Responses'!$K$2:$K$5000,0,'Station Responses'!$L$2:$L$5000,1)/COUNTIFS('Station Responses'!$F$2:$F$5000,"C3B3",'Station Responses'!$T$2:$T$5000,FALSE,'Station Responses'!$K$2:$K$5000,0),"")</f>
        <v/>
      </c>
      <c r="K37" s="7">
        <f>IFERROR(AVERAGEIFS('Station Responses'!$K$2:$K$5000,'Station Responses'!$F$2:$F$5000,"C3B3",'Station Responses'!$T$2:$T$5000,FALSE,'Station Responses'!$S$2:$S$5000,"upper")-AVERAGEIFS('Station Responses'!$K$2:$K$5000,'Station Responses'!$F$2:$F$5000,"C3B3",'Station Responses'!$T$2:$T$5000,FALSE,'Station Responses'!$S$2:$S$5000,"lower"),"")</f>
        <v/>
      </c>
      <c r="L37" s="9">
        <f>IFERROR(AVERAGEIFS('Station Responses'!$P$2:$P$5000,'Station Responses'!$F$2:$F$5000,"C3B3",'Station Responses'!$T$2:$T$5000,FALSE,'Station Responses'!$P$2:$P$5000,"&gt;0"),"")</f>
        <v/>
      </c>
      <c r="M37" s="6">
        <f>IFERROR(COUNTIFS('Station Responses'!$F$2:$F$5000,"C3B3",'Station Responses'!$T$2:$T$5000,FALSE,'Station Responses'!$O$2:$O$5000,"&gt;0")/H37,"")</f>
        <v/>
      </c>
      <c r="N37">
        <f>IF(H37&lt;5,"too few answers",IF(I37&lt;0.3,"very hard — review teaching or item",IF(I37&gt;0.9,"very easy",IF(AND(K37&lt;&gt;"",K37&lt;0.2),"low discrimination — review item","OK"))))</f>
        <v/>
      </c>
      <c r="O37" t="inlineStr">
        <is>
          <t>Gather AMPLE without delaying resuscitation.</t>
        </is>
      </c>
    </row>
    <row r="38">
      <c r="A38" t="inlineStr">
        <is>
          <t>FS1</t>
        </is>
      </c>
      <c r="B38" t="inlineStr">
        <is>
          <t>post-test</t>
        </is>
      </c>
      <c r="C38" t="inlineStr">
        <is>
          <t>Trauma Shift</t>
        </is>
      </c>
      <c r="D38" t="inlineStr">
        <is>
          <t>Trauma Shift: Force detective</t>
        </is>
      </c>
      <c r="E38" t="inlineStr">
        <is>
          <t>LO1</t>
        </is>
      </c>
      <c r="F38" t="inlineStr">
        <is>
          <t>understand</t>
        </is>
      </c>
      <c r="G38" t="b">
        <v>0</v>
      </c>
      <c r="H38">
        <f>COUNTIFS('Station Responses'!$F$2:$F$5000,"FS1",'Station Responses'!$T$2:$T$5000,FALSE)</f>
        <v/>
      </c>
      <c r="I38" s="6">
        <f>IFERROR(AVERAGEIFS('Station Responses'!$K$2:$K$5000,'Station Responses'!$F$2:$F$5000,"FS1",'Station Responses'!$T$2:$T$5000,FALSE),"")</f>
        <v/>
      </c>
      <c r="J38" s="6">
        <f>IFERROR(COUNTIFS('Station Responses'!$F$2:$F$5000,"FS1",'Station Responses'!$T$2:$T$5000,FALSE,'Station Responses'!$K$2:$K$5000,0,'Station Responses'!$L$2:$L$5000,1)/COUNTIFS('Station Responses'!$F$2:$F$5000,"FS1",'Station Responses'!$T$2:$T$5000,FALSE,'Station Responses'!$K$2:$K$5000,0),"")</f>
        <v/>
      </c>
      <c r="K38" s="7">
        <f>IFERROR(AVERAGEIFS('Station Responses'!$K$2:$K$5000,'Station Responses'!$F$2:$F$5000,"FS1",'Station Responses'!$T$2:$T$5000,FALSE,'Station Responses'!$S$2:$S$5000,"upper")-AVERAGEIFS('Station Responses'!$K$2:$K$5000,'Station Responses'!$F$2:$F$5000,"FS1",'Station Responses'!$T$2:$T$5000,FALSE,'Station Responses'!$S$2:$S$5000,"lower"),"")</f>
        <v/>
      </c>
      <c r="L38" s="9">
        <f>IFERROR(AVERAGEIFS('Station Responses'!$P$2:$P$5000,'Station Responses'!$F$2:$F$5000,"FS1",'Station Responses'!$T$2:$T$5000,FALSE,'Station Responses'!$P$2:$P$5000,"&gt;0"),"")</f>
        <v/>
      </c>
      <c r="M38" s="6">
        <f>IFERROR(COUNTIFS('Station Responses'!$F$2:$F$5000,"FS1",'Station Responses'!$T$2:$T$5000,FALSE,'Station Responses'!$O$2:$O$5000,"&gt;0")/H38,"")</f>
        <v/>
      </c>
      <c r="N38">
        <f>IF(H38&lt;5,"too few answers",IF(I38&lt;0.3,"very hard — review teaching or item",IF(I38&gt;0.9,"very easy",IF(AND(K38&lt;&gt;"",K38&lt;0.2),"low discrimination — review item","OK"))))</f>
        <v/>
      </c>
      <c r="O38" t="inlineStr">
        <is>
          <t>Mechanism suggests a pattern, not a definitive diagnosis.</t>
        </is>
      </c>
    </row>
    <row r="39">
      <c r="A39" t="inlineStr">
        <is>
          <t>FS2</t>
        </is>
      </c>
      <c r="B39" t="inlineStr">
        <is>
          <t>post-test</t>
        </is>
      </c>
      <c r="C39" t="inlineStr">
        <is>
          <t>Trauma Shift</t>
        </is>
      </c>
      <c r="D39" t="inlineStr">
        <is>
          <t>Trauma Shift: GU danger cards</t>
        </is>
      </c>
      <c r="E39" t="inlineStr">
        <is>
          <t>LO2;LO5</t>
        </is>
      </c>
      <c r="F39" t="inlineStr">
        <is>
          <t>apply</t>
        </is>
      </c>
      <c r="G39" t="b">
        <v>1</v>
      </c>
      <c r="H39">
        <f>COUNTIFS('Station Responses'!$F$2:$F$5000,"FS2",'Station Responses'!$T$2:$T$5000,FALSE)</f>
        <v/>
      </c>
      <c r="I39" s="6">
        <f>IFERROR(AVERAGEIFS('Station Responses'!$K$2:$K$5000,'Station Responses'!$F$2:$F$5000,"FS2",'Station Responses'!$T$2:$T$5000,FALSE),"")</f>
        <v/>
      </c>
      <c r="J39" s="6">
        <f>IFERROR(COUNTIFS('Station Responses'!$F$2:$F$5000,"FS2",'Station Responses'!$T$2:$T$5000,FALSE,'Station Responses'!$K$2:$K$5000,0,'Station Responses'!$L$2:$L$5000,1)/COUNTIFS('Station Responses'!$F$2:$F$5000,"FS2",'Station Responses'!$T$2:$T$5000,FALSE,'Station Responses'!$K$2:$K$5000,0),"")</f>
        <v/>
      </c>
      <c r="K39" s="7">
        <f>IFERROR(AVERAGEIFS('Station Responses'!$K$2:$K$5000,'Station Responses'!$F$2:$F$5000,"FS2",'Station Responses'!$T$2:$T$5000,FALSE,'Station Responses'!$S$2:$S$5000,"upper")-AVERAGEIFS('Station Responses'!$K$2:$K$5000,'Station Responses'!$F$2:$F$5000,"FS2",'Station Responses'!$T$2:$T$5000,FALSE,'Station Responses'!$S$2:$S$5000,"lower"),"")</f>
        <v/>
      </c>
      <c r="L39" s="9">
        <f>IFERROR(AVERAGEIFS('Station Responses'!$P$2:$P$5000,'Station Responses'!$F$2:$F$5000,"FS2",'Station Responses'!$T$2:$T$5000,FALSE,'Station Responses'!$P$2:$P$5000,"&gt;0"),"")</f>
        <v/>
      </c>
      <c r="M39" s="6">
        <f>IFERROR(COUNTIFS('Station Responses'!$F$2:$F$5000,"FS2",'Station Responses'!$T$2:$T$5000,FALSE,'Station Responses'!$O$2:$O$5000,"&gt;0")/H39,"")</f>
        <v/>
      </c>
      <c r="N39">
        <f>IF(H39&lt;5,"too few answers",IF(I39&lt;0.3,"very hard — review teaching or item",IF(I39&gt;0.9,"very easy",IF(AND(K39&lt;&gt;"",K39&lt;0.2),"low discrimination — review item","OK"))))</f>
        <v/>
      </c>
      <c r="O39" t="inlineStr">
        <is>
          <t>No blind Foley with meatal bleeding: ask the senior/urology team for assessment.</t>
        </is>
      </c>
    </row>
    <row r="40">
      <c r="A40" t="inlineStr">
        <is>
          <t>FS3</t>
        </is>
      </c>
      <c r="B40" t="inlineStr">
        <is>
          <t>post-test</t>
        </is>
      </c>
      <c r="C40" t="inlineStr">
        <is>
          <t>Trauma Shift</t>
        </is>
      </c>
      <c r="D40" t="inlineStr">
        <is>
          <t>Trauma Shift: Stability clue sort</t>
        </is>
      </c>
      <c r="E40" t="inlineStr">
        <is>
          <t>LO3</t>
        </is>
      </c>
      <c r="F40" t="inlineStr">
        <is>
          <t>understand</t>
        </is>
      </c>
      <c r="G40" t="b">
        <v>0</v>
      </c>
      <c r="H40">
        <f>COUNTIFS('Station Responses'!$F$2:$F$5000,"FS3",'Station Responses'!$T$2:$T$5000,FALSE)</f>
        <v/>
      </c>
      <c r="I40" s="6">
        <f>IFERROR(AVERAGEIFS('Station Responses'!$K$2:$K$5000,'Station Responses'!$F$2:$F$5000,"FS3",'Station Responses'!$T$2:$T$5000,FALSE),"")</f>
        <v/>
      </c>
      <c r="J40" s="6">
        <f>IFERROR(COUNTIFS('Station Responses'!$F$2:$F$5000,"FS3",'Station Responses'!$T$2:$T$5000,FALSE,'Station Responses'!$K$2:$K$5000,0,'Station Responses'!$L$2:$L$5000,1)/COUNTIFS('Station Responses'!$F$2:$F$5000,"FS3",'Station Responses'!$T$2:$T$5000,FALSE,'Station Responses'!$K$2:$K$5000,0),"")</f>
        <v/>
      </c>
      <c r="K40" s="7">
        <f>IFERROR(AVERAGEIFS('Station Responses'!$K$2:$K$5000,'Station Responses'!$F$2:$F$5000,"FS3",'Station Responses'!$T$2:$T$5000,FALSE,'Station Responses'!$S$2:$S$5000,"upper")-AVERAGEIFS('Station Responses'!$K$2:$K$5000,'Station Responses'!$F$2:$F$5000,"FS3",'Station Responses'!$T$2:$T$5000,FALSE,'Station Responses'!$S$2:$S$5000,"lower"),"")</f>
        <v/>
      </c>
      <c r="L40" s="9">
        <f>IFERROR(AVERAGEIFS('Station Responses'!$P$2:$P$5000,'Station Responses'!$F$2:$F$5000,"FS3",'Station Responses'!$T$2:$T$5000,FALSE,'Station Responses'!$P$2:$P$5000,"&gt;0"),"")</f>
        <v/>
      </c>
      <c r="M40" s="6">
        <f>IFERROR(COUNTIFS('Station Responses'!$F$2:$F$5000,"FS3",'Station Responses'!$T$2:$T$5000,FALSE,'Station Responses'!$O$2:$O$5000,"&gt;0")/H40,"")</f>
        <v/>
      </c>
      <c r="N40">
        <f>IF(H40&lt;5,"too few answers",IF(I40&lt;0.3,"very hard — review teaching or item",IF(I40&gt;0.9,"very easy",IF(AND(K40&lt;&gt;"",K40&lt;0.2),"low discrimination — review item","OK"))))</f>
        <v/>
      </c>
      <c r="O40" t="inlineStr">
        <is>
          <t>Normal physiology is not proof of mechanical stability.</t>
        </is>
      </c>
    </row>
    <row r="41">
      <c r="A41" t="inlineStr">
        <is>
          <t>FS4</t>
        </is>
      </c>
      <c r="B41" t="inlineStr">
        <is>
          <t>post-test</t>
        </is>
      </c>
      <c r="C41" t="inlineStr">
        <is>
          <t>Trauma Shift</t>
        </is>
      </c>
      <c r="D41" t="inlineStr">
        <is>
          <t>Trauma Shift: Open, closed or degloving?</t>
        </is>
      </c>
      <c r="E41" t="inlineStr">
        <is>
          <t>LO4</t>
        </is>
      </c>
      <c r="F41" t="inlineStr">
        <is>
          <t>understand</t>
        </is>
      </c>
      <c r="G41" t="b">
        <v>0</v>
      </c>
      <c r="H41">
        <f>COUNTIFS('Station Responses'!$F$2:$F$5000,"FS4",'Station Responses'!$T$2:$T$5000,FALSE)</f>
        <v/>
      </c>
      <c r="I41" s="6">
        <f>IFERROR(AVERAGEIFS('Station Responses'!$K$2:$K$5000,'Station Responses'!$F$2:$F$5000,"FS4",'Station Responses'!$T$2:$T$5000,FALSE),"")</f>
        <v/>
      </c>
      <c r="J41" s="6">
        <f>IFERROR(COUNTIFS('Station Responses'!$F$2:$F$5000,"FS4",'Station Responses'!$T$2:$T$5000,FALSE,'Station Responses'!$K$2:$K$5000,0,'Station Responses'!$L$2:$L$5000,1)/COUNTIFS('Station Responses'!$F$2:$F$5000,"FS4",'Station Responses'!$T$2:$T$5000,FALSE,'Station Responses'!$K$2:$K$5000,0),"")</f>
        <v/>
      </c>
      <c r="K41" s="7">
        <f>IFERROR(AVERAGEIFS('Station Responses'!$K$2:$K$5000,'Station Responses'!$F$2:$F$5000,"FS4",'Station Responses'!$T$2:$T$5000,FALSE,'Station Responses'!$S$2:$S$5000,"upper")-AVERAGEIFS('Station Responses'!$K$2:$K$5000,'Station Responses'!$F$2:$F$5000,"FS4",'Station Responses'!$T$2:$T$5000,FALSE,'Station Responses'!$S$2:$S$5000,"lower"),"")</f>
        <v/>
      </c>
      <c r="L41" s="9">
        <f>IFERROR(AVERAGEIFS('Station Responses'!$P$2:$P$5000,'Station Responses'!$F$2:$F$5000,"FS4",'Station Responses'!$T$2:$T$5000,FALSE,'Station Responses'!$P$2:$P$5000,"&gt;0"),"")</f>
        <v/>
      </c>
      <c r="M41" s="6">
        <f>IFERROR(COUNTIFS('Station Responses'!$F$2:$F$5000,"FS4",'Station Responses'!$T$2:$T$5000,FALSE,'Station Responses'!$O$2:$O$5000,"&gt;0")/H41,"")</f>
        <v/>
      </c>
      <c r="N41">
        <f>IF(H41&lt;5,"too few answers",IF(I41&lt;0.3,"very hard — review teaching or item",IF(I41&gt;0.9,"very easy",IF(AND(K41&lt;&gt;"",K41&lt;0.2),"low discrimination — review item","OK"))))</f>
        <v/>
      </c>
      <c r="O41" t="inlineStr">
        <is>
          <t>Open = a wound that communicates with the fracture: external (perineal wound, fat globules or bone in the wound) or internal (blood PR/PV). Mortality of open pelvic fracture is 30–50%.</t>
        </is>
      </c>
    </row>
    <row r="42">
      <c r="A42" t="inlineStr">
        <is>
          <t>FS5</t>
        </is>
      </c>
      <c r="B42" t="inlineStr">
        <is>
          <t>post-test</t>
        </is>
      </c>
      <c r="C42" t="inlineStr">
        <is>
          <t>Trauma Shift</t>
        </is>
      </c>
      <c r="D42" t="inlineStr">
        <is>
          <t>Trauma Shift: Shock bucket</t>
        </is>
      </c>
      <c r="E42" t="inlineStr">
        <is>
          <t>LO5</t>
        </is>
      </c>
      <c r="F42" t="inlineStr">
        <is>
          <t>understand</t>
        </is>
      </c>
      <c r="G42" t="b">
        <v>0</v>
      </c>
      <c r="H42">
        <f>COUNTIFS('Station Responses'!$F$2:$F$5000,"FS5",'Station Responses'!$T$2:$T$5000,FALSE)</f>
        <v/>
      </c>
      <c r="I42" s="6">
        <f>IFERROR(AVERAGEIFS('Station Responses'!$K$2:$K$5000,'Station Responses'!$F$2:$F$5000,"FS5",'Station Responses'!$T$2:$T$5000,FALSE),"")</f>
        <v/>
      </c>
      <c r="J42" s="6">
        <f>IFERROR(COUNTIFS('Station Responses'!$F$2:$F$5000,"FS5",'Station Responses'!$T$2:$T$5000,FALSE,'Station Responses'!$K$2:$K$5000,0,'Station Responses'!$L$2:$L$5000,1)/COUNTIFS('Station Responses'!$F$2:$F$5000,"FS5",'Station Responses'!$T$2:$T$5000,FALSE,'Station Responses'!$K$2:$K$5000,0),"")</f>
        <v/>
      </c>
      <c r="K42" s="7">
        <f>IFERROR(AVERAGEIFS('Station Responses'!$K$2:$K$5000,'Station Responses'!$F$2:$F$5000,"FS5",'Station Responses'!$T$2:$T$5000,FALSE,'Station Responses'!$S$2:$S$5000,"upper")-AVERAGEIFS('Station Responses'!$K$2:$K$5000,'Station Responses'!$F$2:$F$5000,"FS5",'Station Responses'!$T$2:$T$5000,FALSE,'Station Responses'!$S$2:$S$5000,"lower"),"")</f>
        <v/>
      </c>
      <c r="L42" s="9">
        <f>IFERROR(AVERAGEIFS('Station Responses'!$P$2:$P$5000,'Station Responses'!$F$2:$F$5000,"FS5",'Station Responses'!$T$2:$T$5000,FALSE,'Station Responses'!$P$2:$P$5000,"&gt;0"),"")</f>
        <v/>
      </c>
      <c r="M42" s="6">
        <f>IFERROR(COUNTIFS('Station Responses'!$F$2:$F$5000,"FS5",'Station Responses'!$T$2:$T$5000,FALSE,'Station Responses'!$O$2:$O$5000,"&gt;0")/H42,"")</f>
        <v/>
      </c>
      <c r="N42">
        <f>IF(H42&lt;5,"too few answers",IF(I42&lt;0.3,"very hard — review teaching or item",IF(I42&gt;0.9,"very easy",IF(AND(K42&lt;&gt;"",K42&lt;0.2),"low discrimination — review item","OK"))))</f>
        <v/>
      </c>
      <c r="O42" t="inlineStr">
        <is>
          <t>Class III is a teaching estimate; trends and response matter more than a bucket.</t>
        </is>
      </c>
    </row>
    <row r="43">
      <c r="A43" t="inlineStr">
        <is>
          <t>FS6</t>
        </is>
      </c>
      <c r="B43" t="inlineStr">
        <is>
          <t>post-test</t>
        </is>
      </c>
      <c r="C43" t="inlineStr">
        <is>
          <t>Trauma Shift</t>
        </is>
      </c>
      <c r="D43" t="inlineStr">
        <is>
          <t>Trauma Shift: Binder workshop on screen</t>
        </is>
      </c>
      <c r="E43" t="inlineStr">
        <is>
          <t>LO6</t>
        </is>
      </c>
      <c r="F43" t="inlineStr">
        <is>
          <t>apply</t>
        </is>
      </c>
      <c r="G43" t="b">
        <v>1</v>
      </c>
      <c r="H43">
        <f>COUNTIFS('Station Responses'!$F$2:$F$5000,"FS6",'Station Responses'!$T$2:$T$5000,FALSE)</f>
        <v/>
      </c>
      <c r="I43" s="6">
        <f>IFERROR(AVERAGEIFS('Station Responses'!$K$2:$K$5000,'Station Responses'!$F$2:$F$5000,"FS6",'Station Responses'!$T$2:$T$5000,FALSE),"")</f>
        <v/>
      </c>
      <c r="J43" s="6">
        <f>IFERROR(COUNTIFS('Station Responses'!$F$2:$F$5000,"FS6",'Station Responses'!$T$2:$T$5000,FALSE,'Station Responses'!$K$2:$K$5000,0,'Station Responses'!$L$2:$L$5000,1)/COUNTIFS('Station Responses'!$F$2:$F$5000,"FS6",'Station Responses'!$T$2:$T$5000,FALSE,'Station Responses'!$K$2:$K$5000,0),"")</f>
        <v/>
      </c>
      <c r="K43" s="7">
        <f>IFERROR(AVERAGEIFS('Station Responses'!$K$2:$K$5000,'Station Responses'!$F$2:$F$5000,"FS6",'Station Responses'!$T$2:$T$5000,FALSE,'Station Responses'!$S$2:$S$5000,"upper")-AVERAGEIFS('Station Responses'!$K$2:$K$5000,'Station Responses'!$F$2:$F$5000,"FS6",'Station Responses'!$T$2:$T$5000,FALSE,'Station Responses'!$S$2:$S$5000,"lower"),"")</f>
        <v/>
      </c>
      <c r="L43" s="9">
        <f>IFERROR(AVERAGEIFS('Station Responses'!$P$2:$P$5000,'Station Responses'!$F$2:$F$5000,"FS6",'Station Responses'!$T$2:$T$5000,FALSE,'Station Responses'!$P$2:$P$5000,"&gt;0"),"")</f>
        <v/>
      </c>
      <c r="M43" s="6">
        <f>IFERROR(COUNTIFS('Station Responses'!$F$2:$F$5000,"FS6",'Station Responses'!$T$2:$T$5000,FALSE,'Station Responses'!$O$2:$O$5000,"&gt;0")/H43,"")</f>
        <v/>
      </c>
      <c r="N43">
        <f>IF(H43&lt;5,"too few answers",IF(I43&lt;0.3,"very hard — review teaching or item",IF(I43&gt;0.9,"very easy",IF(AND(K43&lt;&gt;"",K43&lt;0.2),"low discrimination — review item","OK"))))</f>
        <v/>
      </c>
      <c r="O43" t="inlineStr">
        <is>
          <t>Binder for every suspected pelvic fracture: centred on the greater trochanters, snug (not loose, not over-tight), legs internally rotated with padding; remove within 24 h.</t>
        </is>
      </c>
    </row>
    <row r="44">
      <c r="A44" t="inlineStr">
        <is>
          <t>FS7</t>
        </is>
      </c>
      <c r="B44" t="inlineStr">
        <is>
          <t>post-test</t>
        </is>
      </c>
      <c r="C44" t="inlineStr">
        <is>
          <t>Trauma Shift</t>
        </is>
      </c>
      <c r="D44" t="inlineStr">
        <is>
          <t>Trauma Shift: Three-team handover</t>
        </is>
      </c>
      <c r="E44" t="inlineStr">
        <is>
          <t>LO7;LO4;LO5</t>
        </is>
      </c>
      <c r="F44" t="inlineStr">
        <is>
          <t>apply</t>
        </is>
      </c>
      <c r="G44" t="b">
        <v>0</v>
      </c>
      <c r="H44">
        <f>COUNTIFS('Station Responses'!$F$2:$F$5000,"FS7",'Station Responses'!$T$2:$T$5000,FALSE)</f>
        <v/>
      </c>
      <c r="I44" s="6">
        <f>IFERROR(AVERAGEIFS('Station Responses'!$K$2:$K$5000,'Station Responses'!$F$2:$F$5000,"FS7",'Station Responses'!$T$2:$T$5000,FALSE),"")</f>
        <v/>
      </c>
      <c r="J44" s="6">
        <f>IFERROR(COUNTIFS('Station Responses'!$F$2:$F$5000,"FS7",'Station Responses'!$T$2:$T$5000,FALSE,'Station Responses'!$K$2:$K$5000,0,'Station Responses'!$L$2:$L$5000,1)/COUNTIFS('Station Responses'!$F$2:$F$5000,"FS7",'Station Responses'!$T$2:$T$5000,FALSE,'Station Responses'!$K$2:$K$5000,0),"")</f>
        <v/>
      </c>
      <c r="K44" s="7">
        <f>IFERROR(AVERAGEIFS('Station Responses'!$K$2:$K$5000,'Station Responses'!$F$2:$F$5000,"FS7",'Station Responses'!$T$2:$T$5000,FALSE,'Station Responses'!$S$2:$S$5000,"upper")-AVERAGEIFS('Station Responses'!$K$2:$K$5000,'Station Responses'!$F$2:$F$5000,"FS7",'Station Responses'!$T$2:$T$5000,FALSE,'Station Responses'!$S$2:$S$5000,"lower"),"")</f>
        <v/>
      </c>
      <c r="L44" s="9">
        <f>IFERROR(AVERAGEIFS('Station Responses'!$P$2:$P$5000,'Station Responses'!$F$2:$F$5000,"FS7",'Station Responses'!$T$2:$T$5000,FALSE,'Station Responses'!$P$2:$P$5000,"&gt;0"),"")</f>
        <v/>
      </c>
      <c r="M44" s="6">
        <f>IFERROR(COUNTIFS('Station Responses'!$F$2:$F$5000,"FS7",'Station Responses'!$T$2:$T$5000,FALSE,'Station Responses'!$O$2:$O$5000,"&gt;0")/H44,"")</f>
        <v/>
      </c>
      <c r="N44">
        <f>IF(H44&lt;5,"too few answers",IF(I44&lt;0.3,"very hard — review teaching or item",IF(I44&gt;0.9,"very easy",IF(AND(K44&lt;&gt;"",K44&lt;0.2),"low discrimination — review item","OK"))))</f>
        <v/>
      </c>
      <c r="O44" t="inlineStr">
        <is>
          <t>General surgery, orthopaedics and urology coordinate; double set-up is senior-led.</t>
        </is>
      </c>
    </row>
    <row r="45">
      <c r="A45" t="inlineStr">
        <is>
          <t>FS8</t>
        </is>
      </c>
      <c r="B45" t="inlineStr">
        <is>
          <t>post-test</t>
        </is>
      </c>
      <c r="C45" t="inlineStr">
        <is>
          <t>Trauma Shift</t>
        </is>
      </c>
      <c r="D45" t="inlineStr">
        <is>
          <t>Trauma Shift: Binder removal plan</t>
        </is>
      </c>
      <c r="E45" t="inlineStr">
        <is>
          <t>LO6</t>
        </is>
      </c>
      <c r="F45" t="inlineStr">
        <is>
          <t>apply</t>
        </is>
      </c>
      <c r="G45" t="b">
        <v>0</v>
      </c>
      <c r="H45">
        <f>COUNTIFS('Station Responses'!$F$2:$F$5000,"FS8",'Station Responses'!$T$2:$T$5000,FALSE)</f>
        <v/>
      </c>
      <c r="I45" s="6">
        <f>IFERROR(AVERAGEIFS('Station Responses'!$K$2:$K$5000,'Station Responses'!$F$2:$F$5000,"FS8",'Station Responses'!$T$2:$T$5000,FALSE),"")</f>
        <v/>
      </c>
      <c r="J45" s="6">
        <f>IFERROR(COUNTIFS('Station Responses'!$F$2:$F$5000,"FS8",'Station Responses'!$T$2:$T$5000,FALSE,'Station Responses'!$K$2:$K$5000,0,'Station Responses'!$L$2:$L$5000,1)/COUNTIFS('Station Responses'!$F$2:$F$5000,"FS8",'Station Responses'!$T$2:$T$5000,FALSE,'Station Responses'!$K$2:$K$5000,0),"")</f>
        <v/>
      </c>
      <c r="K45" s="7">
        <f>IFERROR(AVERAGEIFS('Station Responses'!$K$2:$K$5000,'Station Responses'!$F$2:$F$5000,"FS8",'Station Responses'!$T$2:$T$5000,FALSE,'Station Responses'!$S$2:$S$5000,"upper")-AVERAGEIFS('Station Responses'!$K$2:$K$5000,'Station Responses'!$F$2:$F$5000,"FS8",'Station Responses'!$T$2:$T$5000,FALSE,'Station Responses'!$S$2:$S$5000,"lower"),"")</f>
        <v/>
      </c>
      <c r="L45" s="9">
        <f>IFERROR(AVERAGEIFS('Station Responses'!$P$2:$P$5000,'Station Responses'!$F$2:$F$5000,"FS8",'Station Responses'!$T$2:$T$5000,FALSE,'Station Responses'!$P$2:$P$5000,"&gt;0"),"")</f>
        <v/>
      </c>
      <c r="M45" s="6">
        <f>IFERROR(COUNTIFS('Station Responses'!$F$2:$F$5000,"FS8",'Station Responses'!$T$2:$T$5000,FALSE,'Station Responses'!$O$2:$O$5000,"&gt;0")/H45,"")</f>
        <v/>
      </c>
      <c r="N45">
        <f>IF(H45&lt;5,"too few answers",IF(I45&lt;0.3,"very hard — review teaching or item",IF(I45&gt;0.9,"very easy",IF(AND(K45&lt;&gt;"",K45&lt;0.2),"low discrimination — review item","OK"))))</f>
        <v/>
      </c>
      <c r="O45" t="inlineStr">
        <is>
          <t>Remove the binder as soon as possible and within 24 h (pressure sores). If the AP pelvis shows no unstable fracture, remove it; ask orthopaedics if unsure.</t>
        </is>
      </c>
    </row>
    <row r="46">
      <c r="A46" t="inlineStr">
        <is>
          <t>PT1</t>
        </is>
      </c>
      <c r="B46" t="inlineStr">
        <is>
          <t>pre-test</t>
        </is>
      </c>
      <c r="C46" t="inlineStr">
        <is>
          <t>Pre-test</t>
        </is>
      </c>
      <c r="D46" t="inlineStr">
        <is>
          <t>Pre-test: Force detective</t>
        </is>
      </c>
      <c r="E46" t="inlineStr">
        <is>
          <t>LO1</t>
        </is>
      </c>
      <c r="F46" t="inlineStr">
        <is>
          <t>understand</t>
        </is>
      </c>
      <c r="G46" t="b">
        <v>0</v>
      </c>
      <c r="H46">
        <f>COUNTIFS('Station Responses'!$F$2:$F$5000,"PT1",'Station Responses'!$T$2:$T$5000,FALSE)</f>
        <v/>
      </c>
      <c r="I46" s="6">
        <f>IFERROR(AVERAGEIFS('Station Responses'!$K$2:$K$5000,'Station Responses'!$F$2:$F$5000,"PT1",'Station Responses'!$T$2:$T$5000,FALSE),"")</f>
        <v/>
      </c>
      <c r="J46" s="6">
        <f>IFERROR(COUNTIFS('Station Responses'!$F$2:$F$5000,"PT1",'Station Responses'!$T$2:$T$5000,FALSE,'Station Responses'!$K$2:$K$5000,0,'Station Responses'!$L$2:$L$5000,1)/COUNTIFS('Station Responses'!$F$2:$F$5000,"PT1",'Station Responses'!$T$2:$T$5000,FALSE,'Station Responses'!$K$2:$K$5000,0),"")</f>
        <v/>
      </c>
      <c r="K46" s="7">
        <f>IFERROR(AVERAGEIFS('Station Responses'!$K$2:$K$5000,'Station Responses'!$F$2:$F$5000,"PT1",'Station Responses'!$T$2:$T$5000,FALSE,'Station Responses'!$S$2:$S$5000,"upper")-AVERAGEIFS('Station Responses'!$K$2:$K$5000,'Station Responses'!$F$2:$F$5000,"PT1",'Station Responses'!$T$2:$T$5000,FALSE,'Station Responses'!$S$2:$S$5000,"lower"),"")</f>
        <v/>
      </c>
      <c r="L46" s="9">
        <f>IFERROR(AVERAGEIFS('Station Responses'!$P$2:$P$5000,'Station Responses'!$F$2:$F$5000,"PT1",'Station Responses'!$T$2:$T$5000,FALSE,'Station Responses'!$P$2:$P$5000,"&gt;0"),"")</f>
        <v/>
      </c>
      <c r="M46" s="6">
        <f>IFERROR(COUNTIFS('Station Responses'!$F$2:$F$5000,"PT1",'Station Responses'!$T$2:$T$5000,FALSE,'Station Responses'!$O$2:$O$5000,"&gt;0")/H46,"")</f>
        <v/>
      </c>
      <c r="N46">
        <f>IF(H46&lt;5,"too few answers",IF(I46&lt;0.3,"very hard — review teaching or item",IF(I46&gt;0.9,"very easy",IF(AND(K46&lt;&gt;"",K46&lt;0.2),"low discrimination — review item","OK"))))</f>
        <v/>
      </c>
      <c r="O46" t="inlineStr">
        <is>
          <t>Mechanism suggests a pattern, not a definitive diagnosis.</t>
        </is>
      </c>
    </row>
    <row r="47">
      <c r="A47" t="inlineStr">
        <is>
          <t>PT2</t>
        </is>
      </c>
      <c r="B47" t="inlineStr">
        <is>
          <t>pre-test</t>
        </is>
      </c>
      <c r="C47" t="inlineStr">
        <is>
          <t>Pre-test</t>
        </is>
      </c>
      <c r="D47" t="inlineStr">
        <is>
          <t>Pre-test: GU danger cards</t>
        </is>
      </c>
      <c r="E47" t="inlineStr">
        <is>
          <t>LO2;LO5</t>
        </is>
      </c>
      <c r="F47" t="inlineStr">
        <is>
          <t>apply</t>
        </is>
      </c>
      <c r="G47" t="b">
        <v>0</v>
      </c>
      <c r="H47">
        <f>COUNTIFS('Station Responses'!$F$2:$F$5000,"PT2",'Station Responses'!$T$2:$T$5000,FALSE)</f>
        <v/>
      </c>
      <c r="I47" s="6">
        <f>IFERROR(AVERAGEIFS('Station Responses'!$K$2:$K$5000,'Station Responses'!$F$2:$F$5000,"PT2",'Station Responses'!$T$2:$T$5000,FALSE),"")</f>
        <v/>
      </c>
      <c r="J47" s="6">
        <f>IFERROR(COUNTIFS('Station Responses'!$F$2:$F$5000,"PT2",'Station Responses'!$T$2:$T$5000,FALSE,'Station Responses'!$K$2:$K$5000,0,'Station Responses'!$L$2:$L$5000,1)/COUNTIFS('Station Responses'!$F$2:$F$5000,"PT2",'Station Responses'!$T$2:$T$5000,FALSE,'Station Responses'!$K$2:$K$5000,0),"")</f>
        <v/>
      </c>
      <c r="K47" s="7">
        <f>IFERROR(AVERAGEIFS('Station Responses'!$K$2:$K$5000,'Station Responses'!$F$2:$F$5000,"PT2",'Station Responses'!$T$2:$T$5000,FALSE,'Station Responses'!$S$2:$S$5000,"upper")-AVERAGEIFS('Station Responses'!$K$2:$K$5000,'Station Responses'!$F$2:$F$5000,"PT2",'Station Responses'!$T$2:$T$5000,FALSE,'Station Responses'!$S$2:$S$5000,"lower"),"")</f>
        <v/>
      </c>
      <c r="L47" s="9">
        <f>IFERROR(AVERAGEIFS('Station Responses'!$P$2:$P$5000,'Station Responses'!$F$2:$F$5000,"PT2",'Station Responses'!$T$2:$T$5000,FALSE,'Station Responses'!$P$2:$P$5000,"&gt;0"),"")</f>
        <v/>
      </c>
      <c r="M47" s="6">
        <f>IFERROR(COUNTIFS('Station Responses'!$F$2:$F$5000,"PT2",'Station Responses'!$T$2:$T$5000,FALSE,'Station Responses'!$O$2:$O$5000,"&gt;0")/H47,"")</f>
        <v/>
      </c>
      <c r="N47">
        <f>IF(H47&lt;5,"too few answers",IF(I47&lt;0.3,"very hard — review teaching or item",IF(I47&gt;0.9,"very easy",IF(AND(K47&lt;&gt;"",K47&lt;0.2),"low discrimination — review item","OK"))))</f>
        <v/>
      </c>
      <c r="O47" t="inlineStr">
        <is>
          <t>No blind Foley with meatal bleeding: ask the senior/urology team for assessment.</t>
        </is>
      </c>
    </row>
    <row r="48">
      <c r="A48" t="inlineStr">
        <is>
          <t>PT3</t>
        </is>
      </c>
      <c r="B48" t="inlineStr">
        <is>
          <t>pre-test</t>
        </is>
      </c>
      <c r="C48" t="inlineStr">
        <is>
          <t>Pre-test</t>
        </is>
      </c>
      <c r="D48" t="inlineStr">
        <is>
          <t>Pre-test: Stability clue sort</t>
        </is>
      </c>
      <c r="E48" t="inlineStr">
        <is>
          <t>LO3</t>
        </is>
      </c>
      <c r="F48" t="inlineStr">
        <is>
          <t>understand</t>
        </is>
      </c>
      <c r="G48" t="b">
        <v>0</v>
      </c>
      <c r="H48">
        <f>COUNTIFS('Station Responses'!$F$2:$F$5000,"PT3",'Station Responses'!$T$2:$T$5000,FALSE)</f>
        <v/>
      </c>
      <c r="I48" s="6">
        <f>IFERROR(AVERAGEIFS('Station Responses'!$K$2:$K$5000,'Station Responses'!$F$2:$F$5000,"PT3",'Station Responses'!$T$2:$T$5000,FALSE),"")</f>
        <v/>
      </c>
      <c r="J48" s="6">
        <f>IFERROR(COUNTIFS('Station Responses'!$F$2:$F$5000,"PT3",'Station Responses'!$T$2:$T$5000,FALSE,'Station Responses'!$K$2:$K$5000,0,'Station Responses'!$L$2:$L$5000,1)/COUNTIFS('Station Responses'!$F$2:$F$5000,"PT3",'Station Responses'!$T$2:$T$5000,FALSE,'Station Responses'!$K$2:$K$5000,0),"")</f>
        <v/>
      </c>
      <c r="K48" s="7">
        <f>IFERROR(AVERAGEIFS('Station Responses'!$K$2:$K$5000,'Station Responses'!$F$2:$F$5000,"PT3",'Station Responses'!$T$2:$T$5000,FALSE,'Station Responses'!$S$2:$S$5000,"upper")-AVERAGEIFS('Station Responses'!$K$2:$K$5000,'Station Responses'!$F$2:$F$5000,"PT3",'Station Responses'!$T$2:$T$5000,FALSE,'Station Responses'!$S$2:$S$5000,"lower"),"")</f>
        <v/>
      </c>
      <c r="L48" s="9">
        <f>IFERROR(AVERAGEIFS('Station Responses'!$P$2:$P$5000,'Station Responses'!$F$2:$F$5000,"PT3",'Station Responses'!$T$2:$T$5000,FALSE,'Station Responses'!$P$2:$P$5000,"&gt;0"),"")</f>
        <v/>
      </c>
      <c r="M48" s="6">
        <f>IFERROR(COUNTIFS('Station Responses'!$F$2:$F$5000,"PT3",'Station Responses'!$T$2:$T$5000,FALSE,'Station Responses'!$O$2:$O$5000,"&gt;0")/H48,"")</f>
        <v/>
      </c>
      <c r="N48">
        <f>IF(H48&lt;5,"too few answers",IF(I48&lt;0.3,"very hard — review teaching or item",IF(I48&gt;0.9,"very easy",IF(AND(K48&lt;&gt;"",K48&lt;0.2),"low discrimination — review item","OK"))))</f>
        <v/>
      </c>
      <c r="O48" t="inlineStr">
        <is>
          <t>Normal physiology is not proof of mechanical stability.</t>
        </is>
      </c>
    </row>
    <row r="49">
      <c r="A49" t="inlineStr">
        <is>
          <t>PT4</t>
        </is>
      </c>
      <c r="B49" t="inlineStr">
        <is>
          <t>pre-test</t>
        </is>
      </c>
      <c r="C49" t="inlineStr">
        <is>
          <t>Pre-test</t>
        </is>
      </c>
      <c r="D49" t="inlineStr">
        <is>
          <t>Pre-test: Open, closed or degloving?</t>
        </is>
      </c>
      <c r="E49" t="inlineStr">
        <is>
          <t>LO4</t>
        </is>
      </c>
      <c r="F49" t="inlineStr">
        <is>
          <t>understand</t>
        </is>
      </c>
      <c r="G49" t="b">
        <v>0</v>
      </c>
      <c r="H49">
        <f>COUNTIFS('Station Responses'!$F$2:$F$5000,"PT4",'Station Responses'!$T$2:$T$5000,FALSE)</f>
        <v/>
      </c>
      <c r="I49" s="6">
        <f>IFERROR(AVERAGEIFS('Station Responses'!$K$2:$K$5000,'Station Responses'!$F$2:$F$5000,"PT4",'Station Responses'!$T$2:$T$5000,FALSE),"")</f>
        <v/>
      </c>
      <c r="J49" s="6">
        <f>IFERROR(COUNTIFS('Station Responses'!$F$2:$F$5000,"PT4",'Station Responses'!$T$2:$T$5000,FALSE,'Station Responses'!$K$2:$K$5000,0,'Station Responses'!$L$2:$L$5000,1)/COUNTIFS('Station Responses'!$F$2:$F$5000,"PT4",'Station Responses'!$T$2:$T$5000,FALSE,'Station Responses'!$K$2:$K$5000,0),"")</f>
        <v/>
      </c>
      <c r="K49" s="7">
        <f>IFERROR(AVERAGEIFS('Station Responses'!$K$2:$K$5000,'Station Responses'!$F$2:$F$5000,"PT4",'Station Responses'!$T$2:$T$5000,FALSE,'Station Responses'!$S$2:$S$5000,"upper")-AVERAGEIFS('Station Responses'!$K$2:$K$5000,'Station Responses'!$F$2:$F$5000,"PT4",'Station Responses'!$T$2:$T$5000,FALSE,'Station Responses'!$S$2:$S$5000,"lower"),"")</f>
        <v/>
      </c>
      <c r="L49" s="9">
        <f>IFERROR(AVERAGEIFS('Station Responses'!$P$2:$P$5000,'Station Responses'!$F$2:$F$5000,"PT4",'Station Responses'!$T$2:$T$5000,FALSE,'Station Responses'!$P$2:$P$5000,"&gt;0"),"")</f>
        <v/>
      </c>
      <c r="M49" s="6">
        <f>IFERROR(COUNTIFS('Station Responses'!$F$2:$F$5000,"PT4",'Station Responses'!$T$2:$T$5000,FALSE,'Station Responses'!$O$2:$O$5000,"&gt;0")/H49,"")</f>
        <v/>
      </c>
      <c r="N49">
        <f>IF(H49&lt;5,"too few answers",IF(I49&lt;0.3,"very hard — review teaching or item",IF(I49&gt;0.9,"very easy",IF(AND(K49&lt;&gt;"",K49&lt;0.2),"low discrimination — review item","OK"))))</f>
        <v/>
      </c>
      <c r="O49" t="inlineStr">
        <is>
          <t>Open = a wound that communicates with the fracture: external (perineal wound, fat globules or bone in the wound) or internal (blood PR/PV). Mortality of open pelvic fracture is 30–50%.</t>
        </is>
      </c>
    </row>
    <row r="50">
      <c r="A50" t="inlineStr">
        <is>
          <t>PT5</t>
        </is>
      </c>
      <c r="B50" t="inlineStr">
        <is>
          <t>pre-test</t>
        </is>
      </c>
      <c r="C50" t="inlineStr">
        <is>
          <t>Pre-test</t>
        </is>
      </c>
      <c r="D50" t="inlineStr">
        <is>
          <t>Pre-test: Shock bucket</t>
        </is>
      </c>
      <c r="E50" t="inlineStr">
        <is>
          <t>LO5</t>
        </is>
      </c>
      <c r="F50" t="inlineStr">
        <is>
          <t>understand</t>
        </is>
      </c>
      <c r="G50" t="b">
        <v>0</v>
      </c>
      <c r="H50">
        <f>COUNTIFS('Station Responses'!$F$2:$F$5000,"PT5",'Station Responses'!$T$2:$T$5000,FALSE)</f>
        <v/>
      </c>
      <c r="I50" s="6">
        <f>IFERROR(AVERAGEIFS('Station Responses'!$K$2:$K$5000,'Station Responses'!$F$2:$F$5000,"PT5",'Station Responses'!$T$2:$T$5000,FALSE),"")</f>
        <v/>
      </c>
      <c r="J50" s="6">
        <f>IFERROR(COUNTIFS('Station Responses'!$F$2:$F$5000,"PT5",'Station Responses'!$T$2:$T$5000,FALSE,'Station Responses'!$K$2:$K$5000,0,'Station Responses'!$L$2:$L$5000,1)/COUNTIFS('Station Responses'!$F$2:$F$5000,"PT5",'Station Responses'!$T$2:$T$5000,FALSE,'Station Responses'!$K$2:$K$5000,0),"")</f>
        <v/>
      </c>
      <c r="K50" s="7">
        <f>IFERROR(AVERAGEIFS('Station Responses'!$K$2:$K$5000,'Station Responses'!$F$2:$F$5000,"PT5",'Station Responses'!$T$2:$T$5000,FALSE,'Station Responses'!$S$2:$S$5000,"upper")-AVERAGEIFS('Station Responses'!$K$2:$K$5000,'Station Responses'!$F$2:$F$5000,"PT5",'Station Responses'!$T$2:$T$5000,FALSE,'Station Responses'!$S$2:$S$5000,"lower"),"")</f>
        <v/>
      </c>
      <c r="L50" s="9">
        <f>IFERROR(AVERAGEIFS('Station Responses'!$P$2:$P$5000,'Station Responses'!$F$2:$F$5000,"PT5",'Station Responses'!$T$2:$T$5000,FALSE,'Station Responses'!$P$2:$P$5000,"&gt;0"),"")</f>
        <v/>
      </c>
      <c r="M50" s="6">
        <f>IFERROR(COUNTIFS('Station Responses'!$F$2:$F$5000,"PT5",'Station Responses'!$T$2:$T$5000,FALSE,'Station Responses'!$O$2:$O$5000,"&gt;0")/H50,"")</f>
        <v/>
      </c>
      <c r="N50">
        <f>IF(H50&lt;5,"too few answers",IF(I50&lt;0.3,"very hard — review teaching or item",IF(I50&gt;0.9,"very easy",IF(AND(K50&lt;&gt;"",K50&lt;0.2),"low discrimination — review item","OK"))))</f>
        <v/>
      </c>
      <c r="O50" t="inlineStr">
        <is>
          <t>Class III is a teaching estimate; trends and response matter more than a bucket.</t>
        </is>
      </c>
    </row>
    <row r="51">
      <c r="A51" t="inlineStr">
        <is>
          <t>PT6</t>
        </is>
      </c>
      <c r="B51" t="inlineStr">
        <is>
          <t>pre-test</t>
        </is>
      </c>
      <c r="C51" t="inlineStr">
        <is>
          <t>Pre-test</t>
        </is>
      </c>
      <c r="D51" t="inlineStr">
        <is>
          <t>Pre-test: Binder workshop on screen</t>
        </is>
      </c>
      <c r="E51" t="inlineStr">
        <is>
          <t>LO6</t>
        </is>
      </c>
      <c r="F51" t="inlineStr">
        <is>
          <t>apply</t>
        </is>
      </c>
      <c r="G51" t="b">
        <v>0</v>
      </c>
      <c r="H51">
        <f>COUNTIFS('Station Responses'!$F$2:$F$5000,"PT6",'Station Responses'!$T$2:$T$5000,FALSE)</f>
        <v/>
      </c>
      <c r="I51" s="6">
        <f>IFERROR(AVERAGEIFS('Station Responses'!$K$2:$K$5000,'Station Responses'!$F$2:$F$5000,"PT6",'Station Responses'!$T$2:$T$5000,FALSE),"")</f>
        <v/>
      </c>
      <c r="J51" s="6">
        <f>IFERROR(COUNTIFS('Station Responses'!$F$2:$F$5000,"PT6",'Station Responses'!$T$2:$T$5000,FALSE,'Station Responses'!$K$2:$K$5000,0,'Station Responses'!$L$2:$L$5000,1)/COUNTIFS('Station Responses'!$F$2:$F$5000,"PT6",'Station Responses'!$T$2:$T$5000,FALSE,'Station Responses'!$K$2:$K$5000,0),"")</f>
        <v/>
      </c>
      <c r="K51" s="7">
        <f>IFERROR(AVERAGEIFS('Station Responses'!$K$2:$K$5000,'Station Responses'!$F$2:$F$5000,"PT6",'Station Responses'!$T$2:$T$5000,FALSE,'Station Responses'!$S$2:$S$5000,"upper")-AVERAGEIFS('Station Responses'!$K$2:$K$5000,'Station Responses'!$F$2:$F$5000,"PT6",'Station Responses'!$T$2:$T$5000,FALSE,'Station Responses'!$S$2:$S$5000,"lower"),"")</f>
        <v/>
      </c>
      <c r="L51" s="9">
        <f>IFERROR(AVERAGEIFS('Station Responses'!$P$2:$P$5000,'Station Responses'!$F$2:$F$5000,"PT6",'Station Responses'!$T$2:$T$5000,FALSE,'Station Responses'!$P$2:$P$5000,"&gt;0"),"")</f>
        <v/>
      </c>
      <c r="M51" s="6">
        <f>IFERROR(COUNTIFS('Station Responses'!$F$2:$F$5000,"PT6",'Station Responses'!$T$2:$T$5000,FALSE,'Station Responses'!$O$2:$O$5000,"&gt;0")/H51,"")</f>
        <v/>
      </c>
      <c r="N51">
        <f>IF(H51&lt;5,"too few answers",IF(I51&lt;0.3,"very hard — review teaching or item",IF(I51&gt;0.9,"very easy",IF(AND(K51&lt;&gt;"",K51&lt;0.2),"low discrimination — review item","OK"))))</f>
        <v/>
      </c>
      <c r="O51" t="inlineStr">
        <is>
          <t>Binder for every suspected pelvic fracture: centred on the greater trochanters, snug (not loose, not over-tight), legs internally rotated with padding; remove within 24 h.</t>
        </is>
      </c>
    </row>
    <row r="52">
      <c r="A52" t="inlineStr">
        <is>
          <t>PT7</t>
        </is>
      </c>
      <c r="B52" t="inlineStr">
        <is>
          <t>pre-test</t>
        </is>
      </c>
      <c r="C52" t="inlineStr">
        <is>
          <t>Pre-test</t>
        </is>
      </c>
      <c r="D52" t="inlineStr">
        <is>
          <t>Pre-test: Three-team handover</t>
        </is>
      </c>
      <c r="E52" t="inlineStr">
        <is>
          <t>LO7;LO4;LO5</t>
        </is>
      </c>
      <c r="F52" t="inlineStr">
        <is>
          <t>apply</t>
        </is>
      </c>
      <c r="G52" t="b">
        <v>0</v>
      </c>
      <c r="H52">
        <f>COUNTIFS('Station Responses'!$F$2:$F$5000,"PT7",'Station Responses'!$T$2:$T$5000,FALSE)</f>
        <v/>
      </c>
      <c r="I52" s="6">
        <f>IFERROR(AVERAGEIFS('Station Responses'!$K$2:$K$5000,'Station Responses'!$F$2:$F$5000,"PT7",'Station Responses'!$T$2:$T$5000,FALSE),"")</f>
        <v/>
      </c>
      <c r="J52" s="6">
        <f>IFERROR(COUNTIFS('Station Responses'!$F$2:$F$5000,"PT7",'Station Responses'!$T$2:$T$5000,FALSE,'Station Responses'!$K$2:$K$5000,0,'Station Responses'!$L$2:$L$5000,1)/COUNTIFS('Station Responses'!$F$2:$F$5000,"PT7",'Station Responses'!$T$2:$T$5000,FALSE,'Station Responses'!$K$2:$K$5000,0),"")</f>
        <v/>
      </c>
      <c r="K52" s="7">
        <f>IFERROR(AVERAGEIFS('Station Responses'!$K$2:$K$5000,'Station Responses'!$F$2:$F$5000,"PT7",'Station Responses'!$T$2:$T$5000,FALSE,'Station Responses'!$S$2:$S$5000,"upper")-AVERAGEIFS('Station Responses'!$K$2:$K$5000,'Station Responses'!$F$2:$F$5000,"PT7",'Station Responses'!$T$2:$T$5000,FALSE,'Station Responses'!$S$2:$S$5000,"lower"),"")</f>
        <v/>
      </c>
      <c r="L52" s="9">
        <f>IFERROR(AVERAGEIFS('Station Responses'!$P$2:$P$5000,'Station Responses'!$F$2:$F$5000,"PT7",'Station Responses'!$T$2:$T$5000,FALSE,'Station Responses'!$P$2:$P$5000,"&gt;0"),"")</f>
        <v/>
      </c>
      <c r="M52" s="6">
        <f>IFERROR(COUNTIFS('Station Responses'!$F$2:$F$5000,"PT7",'Station Responses'!$T$2:$T$5000,FALSE,'Station Responses'!$O$2:$O$5000,"&gt;0")/H52,"")</f>
        <v/>
      </c>
      <c r="N52">
        <f>IF(H52&lt;5,"too few answers",IF(I52&lt;0.3,"very hard — review teaching or item",IF(I52&gt;0.9,"very easy",IF(AND(K52&lt;&gt;"",K52&lt;0.2),"low discrimination — review item","OK"))))</f>
        <v/>
      </c>
      <c r="O52" t="inlineStr">
        <is>
          <t>General surgery, orthopaedics and urology coordinate; double set-up is senior-led.</t>
        </is>
      </c>
    </row>
    <row r="53">
      <c r="A53" t="inlineStr">
        <is>
          <t>PT8</t>
        </is>
      </c>
      <c r="B53" t="inlineStr">
        <is>
          <t>pre-test</t>
        </is>
      </c>
      <c r="C53" t="inlineStr">
        <is>
          <t>Pre-test</t>
        </is>
      </c>
      <c r="D53" t="inlineStr">
        <is>
          <t>Pre-test: Binder removal plan</t>
        </is>
      </c>
      <c r="E53" t="inlineStr">
        <is>
          <t>LO6</t>
        </is>
      </c>
      <c r="F53" t="inlineStr">
        <is>
          <t>apply</t>
        </is>
      </c>
      <c r="G53" t="b">
        <v>0</v>
      </c>
      <c r="H53">
        <f>COUNTIFS('Station Responses'!$F$2:$F$5000,"PT8",'Station Responses'!$T$2:$T$5000,FALSE)</f>
        <v/>
      </c>
      <c r="I53" s="6">
        <f>IFERROR(AVERAGEIFS('Station Responses'!$K$2:$K$5000,'Station Responses'!$F$2:$F$5000,"PT8",'Station Responses'!$T$2:$T$5000,FALSE),"")</f>
        <v/>
      </c>
      <c r="J53" s="6">
        <f>IFERROR(COUNTIFS('Station Responses'!$F$2:$F$5000,"PT8",'Station Responses'!$T$2:$T$5000,FALSE,'Station Responses'!$K$2:$K$5000,0,'Station Responses'!$L$2:$L$5000,1)/COUNTIFS('Station Responses'!$F$2:$F$5000,"PT8",'Station Responses'!$T$2:$T$5000,FALSE,'Station Responses'!$K$2:$K$5000,0),"")</f>
        <v/>
      </c>
      <c r="K53" s="7">
        <f>IFERROR(AVERAGEIFS('Station Responses'!$K$2:$K$5000,'Station Responses'!$F$2:$F$5000,"PT8",'Station Responses'!$T$2:$T$5000,FALSE,'Station Responses'!$S$2:$S$5000,"upper")-AVERAGEIFS('Station Responses'!$K$2:$K$5000,'Station Responses'!$F$2:$F$5000,"PT8",'Station Responses'!$T$2:$T$5000,FALSE,'Station Responses'!$S$2:$S$5000,"lower"),"")</f>
        <v/>
      </c>
      <c r="L53" s="9">
        <f>IFERROR(AVERAGEIFS('Station Responses'!$P$2:$P$5000,'Station Responses'!$F$2:$F$5000,"PT8",'Station Responses'!$T$2:$T$5000,FALSE,'Station Responses'!$P$2:$P$5000,"&gt;0"),"")</f>
        <v/>
      </c>
      <c r="M53" s="6">
        <f>IFERROR(COUNTIFS('Station Responses'!$F$2:$F$5000,"PT8",'Station Responses'!$T$2:$T$5000,FALSE,'Station Responses'!$O$2:$O$5000,"&gt;0")/H53,"")</f>
        <v/>
      </c>
      <c r="N53">
        <f>IF(H53&lt;5,"too few answers",IF(I53&lt;0.3,"very hard — review teaching or item",IF(I53&gt;0.9,"very easy",IF(AND(K53&lt;&gt;"",K53&lt;0.2),"low discrimination — review item","OK"))))</f>
        <v/>
      </c>
      <c r="O53" t="inlineStr">
        <is>
          <t>Remove the binder as soon as possible and within 24 h (pressure sores). If the AP pelvis shows no unstable fracture, remove it; ask orthopaedics if unsure.</t>
        </is>
      </c>
    </row>
  </sheetData>
  <autoFilter ref="A1:O1"/>
  <conditionalFormatting sqref="I2:I53">
    <cfRule type="cellIs" priority="1" operator="lessThan" dxfId="0">
      <formula>0.3</formula>
    </cfRule>
    <cfRule type="cellIs" priority="2" operator="greaterThan" dxfId="1">
      <formula>0.9</formula>
    </cfRule>
  </conditionalFormatting>
  <conditionalFormatting sqref="N2:N53">
    <cfRule type="expression" priority="3" dxfId="1">
      <formula>AND(N2&lt;&gt;"OK",N2&lt;&gt;"too few answers")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6" customWidth="1" min="10" max="10"/>
    <col width="12" customWidth="1" min="11" max="11"/>
    <col width="12" customWidth="1" min="12" max="12"/>
    <col width="14" customWidth="1" min="13" max="13"/>
    <col width="10" customWidth="1" min="14" max="14"/>
  </cols>
  <sheetData>
    <row r="1" ht="42" customHeight="1">
      <c r="A1" s="8" t="inlineStr">
        <is>
          <t>Cohort</t>
        </is>
      </c>
      <c r="B1" s="8" t="inlineStr">
        <is>
          <t>Enrolled (n)</t>
        </is>
      </c>
      <c r="C1" s="8" t="inlineStr">
        <is>
          <t>Completed (n)</t>
        </is>
      </c>
      <c r="D1" s="8" t="inlineStr">
        <is>
          <t>Learners with both tests (n)</t>
        </is>
      </c>
      <c r="E1" s="8" t="inlineStr">
        <is>
          <t>Mean pre /8</t>
        </is>
      </c>
      <c r="F1" s="8" t="inlineStr">
        <is>
          <t>Mean post /8</t>
        </is>
      </c>
      <c r="G1" s="8" t="inlineStr">
        <is>
          <t>Mean gain</t>
        </is>
      </c>
      <c r="H1" s="8" t="inlineStr">
        <is>
          <t>SD of gain</t>
        </is>
      </c>
      <c r="I1" s="8" t="inlineStr">
        <is>
          <t>Paired t</t>
        </is>
      </c>
      <c r="J1" s="8" t="inlineStr">
        <is>
          <t>df</t>
        </is>
      </c>
      <c r="K1" s="8" t="inlineStr">
        <is>
          <t>p (two-sided)</t>
        </is>
      </c>
      <c r="L1" s="8" t="inlineStr">
        <is>
          <t>Effect size dz</t>
        </is>
      </c>
      <c r="M1" s="8" t="inlineStr">
        <is>
          <t>Mean normalized gain</t>
        </is>
      </c>
      <c r="N1" s="8" t="inlineStr">
        <is>
          <t>Pass rate %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46" customWidth="1" min="4" max="4"/>
    <col width="12" customWidth="1" min="5" max="5"/>
    <col width="12" customWidth="1" min="6" max="6"/>
    <col width="10" customWidth="1" min="7" max="7"/>
    <col width="70" customWidth="1" min="8" max="8"/>
  </cols>
  <sheetData>
    <row r="1" ht="42" customHeight="1">
      <c r="A1" s="8" t="inlineStr">
        <is>
          <t>Station</t>
        </is>
      </c>
      <c r="B1" s="8" t="inlineStr">
        <is>
          <t>Phase</t>
        </is>
      </c>
      <c r="C1" s="8" t="inlineStr">
        <is>
          <t>Objectives</t>
        </is>
      </c>
      <c r="D1" s="8" t="inlineStr">
        <is>
          <t>Mistake (card or topic)</t>
        </is>
      </c>
      <c r="E1" s="8" t="inlineStr">
        <is>
          <t>Learners with this mistake</t>
        </is>
      </c>
      <c r="F1" s="8" t="inlineStr">
        <is>
          <t>Learners answering</t>
        </is>
      </c>
      <c r="G1" s="8" t="inlineStr">
        <is>
          <t>% of learners</t>
        </is>
      </c>
      <c r="H1" s="8" t="inlineStr">
        <is>
          <t>Teaching point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16" customWidth="1" min="9" max="9"/>
    <col width="9" customWidth="1" min="10" max="10"/>
    <col width="9" customWidth="1" min="11" max="11"/>
    <col width="10" customWidth="1" min="12" max="12"/>
    <col width="10" customWidth="1" min="13" max="13"/>
    <col width="8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8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8" customWidth="1" min="28" max="28"/>
    <col width="10" customWidth="1" min="29" max="29"/>
    <col width="26" customWidth="1" min="30" max="30"/>
  </cols>
  <sheetData>
    <row r="1" ht="42" customHeight="1">
      <c r="A1" s="8" t="inlineStr">
        <is>
          <t>Record ID</t>
        </is>
      </c>
      <c r="B1" s="8" t="inlineStr">
        <is>
          <t>Student ID</t>
        </is>
      </c>
      <c r="C1" s="8" t="inlineStr">
        <is>
          <t>Cohort</t>
        </is>
      </c>
      <c r="D1" s="8" t="inlineStr">
        <is>
          <t>Attempt ID</t>
        </is>
      </c>
      <c r="E1" s="8" t="inlineStr">
        <is>
          <t>Content version</t>
        </is>
      </c>
      <c r="F1" s="8" t="inlineStr">
        <is>
          <t>Attempt type</t>
        </is>
      </c>
      <c r="G1" s="8" t="inlineStr">
        <is>
          <t>Started (Bangkok)</t>
        </is>
      </c>
      <c r="H1" s="8" t="inlineStr">
        <is>
          <t>Last activity (Bangkok)</t>
        </is>
      </c>
      <c r="I1" s="8" t="inlineStr">
        <is>
          <t>Completed (Bangkok)</t>
        </is>
      </c>
      <c r="J1" s="8" t="inlineStr">
        <is>
          <t>Pre-test /8</t>
        </is>
      </c>
      <c r="K1" s="8" t="inlineStr">
        <is>
          <t>Post-test /8</t>
        </is>
      </c>
      <c r="L1" s="8" t="inlineStr">
        <is>
          <t>Must-pass safety met</t>
        </is>
      </c>
      <c r="M1" s="8" t="inlineStr">
        <is>
          <t>Pass standard met</t>
        </is>
      </c>
      <c r="N1" s="8" t="inlineStr">
        <is>
          <t>Raw gain</t>
        </is>
      </c>
      <c r="O1" s="8" t="inlineStr">
        <is>
          <t>Normalized gain (g)</t>
        </is>
      </c>
      <c r="P1" s="8" t="inlineStr">
        <is>
          <t>Practice first-try /24</t>
        </is>
      </c>
      <c r="Q1" s="8" t="inlineStr">
        <is>
          <t>Practice corrected</t>
        </is>
      </c>
      <c r="R1" s="8" t="inlineStr">
        <is>
          <t>Stations answered</t>
        </is>
      </c>
      <c r="S1" s="8" t="inlineStr">
        <is>
          <t>Time on task (min)</t>
        </is>
      </c>
      <c r="T1" s="8" t="inlineStr">
        <is>
          <t>Hints opened</t>
        </is>
      </c>
      <c r="U1" s="8" t="inlineStr">
        <is>
          <t>LO1 first-try %</t>
        </is>
      </c>
      <c r="V1" s="8" t="inlineStr">
        <is>
          <t>LO2 first-try %</t>
        </is>
      </c>
      <c r="W1" s="8" t="inlineStr">
        <is>
          <t>LO3 first-try %</t>
        </is>
      </c>
      <c r="X1" s="8" t="inlineStr">
        <is>
          <t>LO4 first-try %</t>
        </is>
      </c>
      <c r="Y1" s="8" t="inlineStr">
        <is>
          <t>LO5 first-try %</t>
        </is>
      </c>
      <c r="Z1" s="8" t="inlineStr">
        <is>
          <t>LO6 first-try %</t>
        </is>
      </c>
      <c r="AA1" s="8" t="inlineStr">
        <is>
          <t>LO7 first-try %</t>
        </is>
      </c>
      <c r="AB1" s="8" t="inlineStr">
        <is>
          <t>Reward</t>
        </is>
      </c>
      <c r="AC1" s="8" t="inlineStr">
        <is>
          <t>Exclude from analysis</t>
        </is>
      </c>
      <c r="AD1" s="8" t="inlineStr">
        <is>
          <t>Exclude reason</t>
        </is>
      </c>
    </row>
  </sheetData>
  <autoFilter ref="A1:AD1"/>
  <conditionalFormatting sqref="U2:AA5000">
    <cfRule type="colorScale" priority="1">
      <colorScale>
        <cfvo type="num" val="50"/>
        <cfvo type="num" val="65"/>
        <cfvo type="num" val="80"/>
        <color rgb="00F8D7DA"/>
        <color rgb="00FFF3CD"/>
        <color rgb="00D4EDDA"/>
      </colorScale>
    </cfRule>
  </conditionalFormatting>
  <conditionalFormatting sqref="M2:M5000">
    <cfRule type="cellIs" priority="2" operator="equal" dxfId="0">
      <formula>FALSE</formula>
    </cfRule>
    <cfRule type="cellIs" priority="3" operator="equal" dxfId="2">
      <formula>TRUE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1" customWidth="1" min="5" max="5"/>
    <col width="8" customWidth="1" min="6" max="6"/>
    <col width="18" customWidth="1" min="7" max="7"/>
    <col width="12" customWidth="1" min="8" max="8"/>
    <col width="11" customWidth="1" min="9" max="9"/>
    <col width="9" customWidth="1" min="10" max="10"/>
    <col width="10" customWidth="1" min="11" max="11"/>
    <col width="10" customWidth="1" min="12" max="12"/>
    <col width="9" customWidth="1" min="13" max="13"/>
    <col width="40" customWidth="1" min="14" max="14"/>
    <col width="8" customWidth="1" min="15" max="15"/>
    <col width="8" customWidth="1" min="16" max="16"/>
    <col width="10" customWidth="1" min="17" max="17"/>
    <col width="16" customWidth="1" min="18" max="18"/>
    <col width="10" customWidth="1" min="19" max="19"/>
    <col width="10" customWidth="1" min="20" max="20"/>
  </cols>
  <sheetData>
    <row r="1" ht="42" customHeight="1">
      <c r="A1" s="8" t="inlineStr">
        <is>
          <t>Record ID</t>
        </is>
      </c>
      <c r="B1" s="8" t="inlineStr">
        <is>
          <t>Student ID</t>
        </is>
      </c>
      <c r="C1" s="8" t="inlineStr">
        <is>
          <t>Cohort</t>
        </is>
      </c>
      <c r="D1" s="8" t="inlineStr">
        <is>
          <t>Attempt ID</t>
        </is>
      </c>
      <c r="E1" s="8" t="inlineStr">
        <is>
          <t>Phase</t>
        </is>
      </c>
      <c r="F1" s="8" t="inlineStr">
        <is>
          <t>Station</t>
        </is>
      </c>
      <c r="G1" s="8" t="inlineStr">
        <is>
          <t>Case</t>
        </is>
      </c>
      <c r="H1" s="8" t="inlineStr">
        <is>
          <t>Objectives</t>
        </is>
      </c>
      <c r="I1" s="8" t="inlineStr">
        <is>
          <t>Bloom level</t>
        </is>
      </c>
      <c r="J1" s="8" t="inlineStr">
        <is>
          <t>Must-pass</t>
        </is>
      </c>
      <c r="K1" s="8" t="inlineStr">
        <is>
          <t>First-try correct (1/0)</t>
        </is>
      </c>
      <c r="L1" s="8" t="inlineStr">
        <is>
          <t>Corrected after feedback (1/0)</t>
        </is>
      </c>
      <c r="M1" s="8" t="inlineStr">
        <is>
          <t>Partial score (0-1)</t>
        </is>
      </c>
      <c r="N1" s="8" t="inlineStr">
        <is>
          <t>Mistakes</t>
        </is>
      </c>
      <c r="O1" s="8" t="inlineStr">
        <is>
          <t>Hints opened</t>
        </is>
      </c>
      <c r="P1" s="8" t="inlineStr">
        <is>
          <t>Time (s)</t>
        </is>
      </c>
      <c r="Q1" s="8" t="inlineStr">
        <is>
          <t>Confidence</t>
        </is>
      </c>
      <c r="R1" s="8" t="inlineStr">
        <is>
          <t>Answered (Bangkok)</t>
        </is>
      </c>
      <c r="S1" s="8" t="inlineStr">
        <is>
          <t>Post-test group</t>
        </is>
      </c>
      <c r="T1" s="8" t="inlineStr">
        <is>
          <t>Exclude from analysis</t>
        </is>
      </c>
    </row>
  </sheetData>
  <autoFilter ref="A1:T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8" customWidth="1" min="5" max="5"/>
    <col width="60" customWidth="1" min="6" max="6"/>
    <col width="12" customWidth="1" min="7" max="7"/>
    <col width="16" customWidth="1" min="8" max="8"/>
    <col width="10" customWidth="1" min="9" max="9"/>
  </cols>
  <sheetData>
    <row r="1" ht="42" customHeight="1">
      <c r="A1" s="8" t="inlineStr">
        <is>
          <t>Record ID</t>
        </is>
      </c>
      <c r="B1" s="8" t="inlineStr">
        <is>
          <t>Student ID</t>
        </is>
      </c>
      <c r="C1" s="8" t="inlineStr">
        <is>
          <t>Cohort</t>
        </is>
      </c>
      <c r="D1" s="8" t="inlineStr">
        <is>
          <t>Attempt ID</t>
        </is>
      </c>
      <c r="E1" s="8" t="inlineStr">
        <is>
          <t>Case</t>
        </is>
      </c>
      <c r="F1" s="8" t="inlineStr">
        <is>
          <t>Learner's handover reasoning</t>
        </is>
      </c>
      <c r="G1" s="8" t="inlineStr">
        <is>
          <t>SBAR built correctly first try (1/0)</t>
        </is>
      </c>
      <c r="H1" s="8" t="inlineStr">
        <is>
          <t>Answered (Bangkok)</t>
        </is>
      </c>
      <c r="I1" s="8" t="inlineStr">
        <is>
          <t>Exclude from analysis</t>
        </is>
      </c>
    </row>
  </sheetData>
  <autoFilter ref="A1:I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60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40" customWidth="1" min="10" max="10"/>
  </cols>
  <sheetData>
    <row r="1" ht="42" customHeight="1">
      <c r="A1" s="10" t="inlineStr">
        <is>
          <t>Record ID</t>
        </is>
      </c>
      <c r="B1" s="10" t="inlineStr">
        <is>
          <t>Student ID</t>
        </is>
      </c>
      <c r="C1" s="10" t="inlineStr">
        <is>
          <t>Case</t>
        </is>
      </c>
      <c r="D1" s="10" t="inlineStr">
        <is>
          <t>Learner's handover reasoning</t>
        </is>
      </c>
      <c r="E1" s="10" t="inlineStr">
        <is>
          <t>S (0-2)</t>
        </is>
      </c>
      <c r="F1" s="10" t="inlineStr">
        <is>
          <t>B (0-2)</t>
        </is>
      </c>
      <c r="G1" s="10" t="inlineStr">
        <is>
          <t>A (0-2)</t>
        </is>
      </c>
      <c r="H1" s="10" t="inlineStr">
        <is>
          <t>R (0-2)</t>
        </is>
      </c>
      <c r="I1" s="10" t="inlineStr">
        <is>
          <t>Total /8</t>
        </is>
      </c>
      <c r="J1" s="10" t="inlineStr">
        <is>
          <t>Teacher comment</t>
        </is>
      </c>
    </row>
  </sheetData>
  <autoFilter ref="A1:J1"/>
  <dataValidations count="1">
    <dataValidation sqref="E2:H5000" showDropDown="0" showInputMessage="0" showErrorMessage="1" allowBlank="1" errorTitle="SBAR score" error="Enter 0, 1 or 2" type="whole" operator="between">
      <formula1>0</formula1>
      <formula2>2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40" customWidth="1" min="10" max="10"/>
    <col width="40" customWidth="1" min="11" max="11"/>
    <col width="40" customWidth="1" min="12" max="12"/>
    <col width="14" customWidth="1" min="13" max="13"/>
  </cols>
  <sheetData>
    <row r="1" ht="42" customHeight="1">
      <c r="A1" s="8" t="inlineStr">
        <is>
          <t>Record ID</t>
        </is>
      </c>
      <c r="B1" s="8" t="inlineStr">
        <is>
          <t>Student ID</t>
        </is>
      </c>
      <c r="C1" s="8" t="inlineStr">
        <is>
          <t>Cohort</t>
        </is>
      </c>
      <c r="D1" s="8" t="inlineStr">
        <is>
          <t>Attempt ID</t>
        </is>
      </c>
      <c r="E1" s="8" t="inlineStr">
        <is>
          <t>Reviewed (Bangkok)</t>
        </is>
      </c>
      <c r="F1" s="8" t="inlineStr">
        <is>
          <t>Scope</t>
        </is>
      </c>
      <c r="G1" s="8" t="inlineStr">
        <is>
          <t>Clinical interpretation</t>
        </is>
      </c>
      <c r="H1" s="8" t="inlineStr">
        <is>
          <t>Priorities / supervised action</t>
        </is>
      </c>
      <c r="I1" s="8" t="inlineStr">
        <is>
          <t>Uncertainty / request</t>
        </is>
      </c>
      <c r="J1" s="8" t="inlineStr">
        <is>
          <t>Observation</t>
        </is>
      </c>
      <c r="K1" s="8" t="inlineStr">
        <is>
          <t>Feedback</t>
        </is>
      </c>
      <c r="L1" s="8" t="inlineStr">
        <is>
          <t>Next step</t>
        </is>
      </c>
      <c r="M1" s="8" t="inlineStr">
        <is>
          <t>Reviewer</t>
        </is>
      </c>
    </row>
  </sheetData>
  <autoFilter ref="A1:M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0" customWidth="1" min="7" max="7"/>
    <col width="10" customWidth="1" min="8" max="8"/>
    <col width="60" customWidth="1" min="9" max="9"/>
    <col width="10" customWidth="1" min="10" max="10"/>
  </cols>
  <sheetData>
    <row r="1" ht="42" customHeight="1">
      <c r="A1" s="8" t="inlineStr">
        <is>
          <t>Record ID</t>
        </is>
      </c>
      <c r="B1" s="8" t="inlineStr">
        <is>
          <t>Student ID</t>
        </is>
      </c>
      <c r="C1" s="8" t="inlineStr">
        <is>
          <t>Cohort</t>
        </is>
      </c>
      <c r="D1" s="8" t="inlineStr">
        <is>
          <t>Attempt ID</t>
        </is>
      </c>
      <c r="E1" s="8" t="inlineStr">
        <is>
          <t>Submitted (Bangkok)</t>
        </is>
      </c>
      <c r="F1" s="8" t="inlineStr">
        <is>
          <t>Useful for learning (1-5)</t>
        </is>
      </c>
      <c r="G1" s="8" t="inlineStr">
        <is>
          <t>Enjoyable (1-5)</t>
        </is>
      </c>
      <c r="H1" s="8" t="inlineStr">
        <is>
          <t>Confidence (1-5)</t>
        </is>
      </c>
      <c r="I1" s="8" t="inlineStr">
        <is>
          <t>Comment</t>
        </is>
      </c>
      <c r="J1" s="8" t="inlineStr">
        <is>
          <t>Exclude from analysis</t>
        </is>
      </c>
    </row>
  </sheetData>
  <autoFilter ref="A1:J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10" customWidth="1" min="4" max="4"/>
    <col width="10" customWidth="1" min="5" max="5"/>
    <col width="26" customWidth="1" min="6" max="6"/>
  </cols>
  <sheetData>
    <row r="1" ht="42" customHeight="1">
      <c r="A1" s="8" t="inlineStr">
        <is>
          <t>Student ID</t>
        </is>
      </c>
      <c r="B1" s="8" t="inlineStr">
        <is>
          <t>Cohort</t>
        </is>
      </c>
      <c r="C1" s="8" t="inlineStr">
        <is>
          <t>Started</t>
        </is>
      </c>
      <c r="D1" s="8" t="inlineStr">
        <is>
          <t>Completed</t>
        </is>
      </c>
      <c r="E1" s="8" t="inlineStr">
        <is>
          <t>Exclude from analysis</t>
        </is>
      </c>
      <c r="F1" s="8" t="inlineStr">
        <is>
          <t>Exclude reason</t>
        </is>
      </c>
    </row>
  </sheetData>
  <autoFilter ref="A1:F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</cols>
  <sheetData>
    <row r="1" ht="42" customHeight="1">
      <c r="A1" s="10" t="inlineStr">
        <is>
          <t>Student ID</t>
        </is>
      </c>
      <c r="B1" s="10" t="inlineStr">
        <is>
          <t>Reason (e.g. QA, withdrew, no consent)</t>
        </is>
      </c>
      <c r="D1" s="4" t="inlineStr">
        <is>
          <t>Type a Student ID and a reason. The next export marks that student as excluded from all statistics (their rows stay).</t>
        </is>
      </c>
    </row>
  </sheetData>
  <autoFilter ref="A1:B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42" customHeight="1">
      <c r="A1" s="8" t="inlineStr">
        <is>
          <t>Item</t>
        </is>
      </c>
      <c r="B1" s="8" t="inlineStr">
        <is>
          <t>Value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2026-10-09T02:08:09Z</dcterms:created>
  <dcterms:modified xsi:type="dcterms:W3CDTF">2026-10-09T02:08:09Z</dcterms:modified>
</cp:coreProperties>
</file>